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codeName="ThisWorkbook" defaultThemeVersion="124226"/>
  <bookViews>
    <workbookView xWindow="0" yWindow="90" windowWidth="15390" windowHeight="7815" tabRatio="671" activeTab="3"/>
  </bookViews>
  <sheets>
    <sheet name="NexthopResource" sheetId="2" r:id="rId1"/>
    <sheet name="NextHop" sheetId="17" r:id="rId2"/>
    <sheet name="Key Resource" sheetId="14" r:id="rId3"/>
    <sheet name="Resource" sheetId="15" r:id="rId4"/>
    <sheet name="SPEC" sheetId="16" r:id="rId5"/>
    <sheet name="KeyOverView" sheetId="4" r:id="rId6"/>
    <sheet name="SCLKey" sheetId="5" r:id="rId7"/>
    <sheet name="Tunnul Decap" sheetId="6" r:id="rId8"/>
    <sheet name="OAM" sheetId="7" r:id="rId9"/>
    <sheet name="ACL Key" sheetId="12" r:id="rId10"/>
    <sheet name="IP" sheetId="13" r:id="rId11"/>
    <sheet name="Sheet1" sheetId="18" r:id="rId12"/>
  </sheets>
  <definedNames>
    <definedName name="DYNAMIC">Resource!$A$4</definedName>
    <definedName name="FlowTCAM">Resource!$A$94</definedName>
    <definedName name="Global">SPEC!$E$2</definedName>
    <definedName name="IpTcam">Resource!$A$122</definedName>
    <definedName name="Spec">SPEC!$A$2</definedName>
    <definedName name="TCAM">Resource!$A$94</definedName>
  </definedNames>
  <calcPr calcId="125725"/>
</workbook>
</file>

<file path=xl/calcChain.xml><?xml version="1.0" encoding="utf-8"?>
<calcChain xmlns="http://schemas.openxmlformats.org/spreadsheetml/2006/main">
  <c r="G123" i="15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22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9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4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L16" i="14"/>
  <c r="L10"/>
  <c r="E118" i="15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F95" s="1"/>
  <c r="E94"/>
  <c r="F63"/>
  <c r="L15" i="14" s="1"/>
  <c r="E150" i="15"/>
  <c r="E122"/>
  <c r="E124"/>
  <c r="E126"/>
  <c r="E128"/>
  <c r="E130"/>
  <c r="E132"/>
  <c r="E134"/>
  <c r="E136"/>
  <c r="E138"/>
  <c r="E140"/>
  <c r="E142"/>
  <c r="E144"/>
  <c r="E146"/>
  <c r="E148"/>
  <c r="E152"/>
  <c r="E154"/>
  <c r="E156"/>
  <c r="G7" i="16"/>
  <c r="F57" i="15" l="1"/>
  <c r="F12"/>
  <c r="F64"/>
  <c r="F33"/>
  <c r="L11" i="14" s="1"/>
  <c r="F40" i="15"/>
  <c r="F71"/>
  <c r="F84"/>
  <c r="F76"/>
  <c r="F96"/>
  <c r="F14"/>
  <c r="F79"/>
  <c r="F9"/>
  <c r="F30"/>
  <c r="L9" i="14" s="1"/>
  <c r="F54" i="15"/>
  <c r="F48"/>
  <c r="F24"/>
  <c r="F32"/>
  <c r="F49"/>
  <c r="F4"/>
  <c r="E158"/>
  <c r="F158" s="1"/>
  <c r="G6" i="16"/>
  <c r="F146" i="15" l="1"/>
  <c r="F122"/>
  <c r="F134"/>
  <c r="K14" i="14"/>
  <c r="K17"/>
  <c r="J9"/>
  <c r="I9"/>
  <c r="I5"/>
  <c r="I8"/>
  <c r="D49" i="2"/>
  <c r="B54" l="1"/>
  <c r="F118" i="15"/>
  <c r="F117"/>
  <c r="F116"/>
  <c r="F94"/>
  <c r="F98" l="1"/>
  <c r="F102"/>
  <c r="F108"/>
  <c r="F114"/>
  <c r="F110"/>
  <c r="F100"/>
  <c r="F112"/>
  <c r="F106"/>
  <c r="F104"/>
  <c r="L5" i="14"/>
  <c r="L24" l="1"/>
  <c r="B55" i="2"/>
  <c r="L19" i="14"/>
  <c r="B53" i="2"/>
  <c r="K8" i="14" l="1"/>
  <c r="AH3" i="15" l="1"/>
  <c r="J11" i="14"/>
  <c r="I11"/>
  <c r="J10"/>
  <c r="I10"/>
  <c r="J8"/>
  <c r="K9"/>
  <c r="J7"/>
  <c r="I7"/>
  <c r="J6"/>
  <c r="I6"/>
  <c r="J5"/>
  <c r="K5"/>
  <c r="K20"/>
  <c r="K21" s="1"/>
  <c r="N21" s="1"/>
  <c r="K19"/>
  <c r="N19" s="1"/>
  <c r="K7"/>
  <c r="N20" l="1"/>
  <c r="B56" i="2"/>
  <c r="M11" i="14"/>
  <c r="M5"/>
  <c r="M24"/>
  <c r="K22"/>
  <c r="N22" s="1"/>
  <c r="K11"/>
  <c r="K24"/>
  <c r="K18"/>
  <c r="N18" s="1"/>
  <c r="K16"/>
  <c r="K15"/>
  <c r="K13"/>
  <c r="K10"/>
  <c r="N24" l="1"/>
  <c r="H49" i="2"/>
  <c r="K49"/>
  <c r="F49"/>
  <c r="J49"/>
  <c r="L49"/>
  <c r="E49"/>
  <c r="G49"/>
  <c r="I49"/>
  <c r="K6" i="14"/>
  <c r="C54" i="2" l="1"/>
  <c r="B61" s="1"/>
  <c r="B63"/>
  <c r="C63" s="1"/>
  <c r="C56"/>
  <c r="C55"/>
  <c r="B62" s="1"/>
  <c r="C62" s="1"/>
  <c r="B47"/>
  <c r="B60"/>
  <c r="C60" s="1"/>
  <c r="C53"/>
  <c r="B48"/>
  <c r="C61"/>
  <c r="N16" i="14"/>
  <c r="N10"/>
  <c r="N15" l="1"/>
  <c r="L14"/>
  <c r="N14" s="1"/>
  <c r="L17"/>
  <c r="N17" s="1"/>
  <c r="L6"/>
  <c r="N6" s="1"/>
  <c r="L8"/>
  <c r="N8" s="1"/>
  <c r="N9"/>
  <c r="L7"/>
  <c r="N7" s="1"/>
  <c r="N11"/>
  <c r="L13"/>
  <c r="N13" s="1"/>
  <c r="N5"/>
</calcChain>
</file>

<file path=xl/comments1.xml><?xml version="1.0" encoding="utf-8"?>
<comments xmlns="http://schemas.openxmlformats.org/spreadsheetml/2006/main">
  <authors>
    <author>作者</author>
  </authors>
  <commentList>
    <comment ref="C2" authorId="0">
      <text>
        <r>
          <rPr>
            <b/>
            <sz val="9"/>
            <color indexed="81"/>
            <rFont val="宋体"/>
            <family val="3"/>
            <charset val="134"/>
          </rPr>
          <t>作者:
此列表示芯片支持的业务</t>
        </r>
      </text>
    </comment>
    <comment ref="D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此列表示用户期望的对应业务的规格。此列需要用户填写</t>
        </r>
      </text>
    </comment>
    <comment ref="E2" authorId="0">
      <text>
        <r>
          <rPr>
            <b/>
            <sz val="9"/>
            <color indexed="81"/>
            <rFont val="Tahoma"/>
            <family val="2"/>
          </rPr>
          <t>wangt:</t>
        </r>
        <r>
          <rPr>
            <b/>
            <sz val="9"/>
            <color indexed="81"/>
            <rFont val="宋体"/>
            <family val="3"/>
            <charset val="134"/>
          </rPr>
          <t>此列表示从用户角度</t>
        </r>
        <r>
          <rPr>
            <b/>
            <sz val="9"/>
            <color indexed="81"/>
            <rFont val="Tahoma"/>
            <family val="2"/>
          </rPr>
          <t>key</t>
        </r>
        <r>
          <rPr>
            <b/>
            <sz val="9"/>
            <color indexed="81"/>
            <rFont val="宋体"/>
            <family val="3"/>
            <charset val="134"/>
          </rPr>
          <t>的大小</t>
        </r>
      </text>
    </comment>
    <comment ref="L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具体资源的配置请在</t>
        </r>
        <r>
          <rPr>
            <sz val="9"/>
            <color indexed="81"/>
            <rFont val="Tahoma"/>
            <family val="2"/>
          </rPr>
          <t>Resource sheet</t>
        </r>
        <r>
          <rPr>
            <sz val="9"/>
            <color indexed="81"/>
            <rFont val="宋体"/>
            <family val="3"/>
            <charset val="134"/>
          </rPr>
          <t xml:space="preserve">中进行设置
</t>
        </r>
      </text>
    </comment>
    <comment ref="C5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对于</t>
        </r>
        <r>
          <rPr>
            <sz val="9"/>
            <color indexed="81"/>
            <rFont val="Tahoma"/>
            <family val="2"/>
          </rPr>
          <t xml:space="preserve">egress </t>
        </r>
        <r>
          <rPr>
            <sz val="9"/>
            <color indexed="81"/>
            <rFont val="宋体"/>
            <family val="3"/>
            <charset val="134"/>
          </rPr>
          <t>其</t>
        </r>
        <r>
          <rPr>
            <sz val="9"/>
            <color indexed="81"/>
            <rFont val="Tahoma"/>
            <family val="2"/>
          </rPr>
          <t>key</t>
        </r>
        <r>
          <rPr>
            <sz val="9"/>
            <color indexed="81"/>
            <rFont val="宋体"/>
            <family val="3"/>
            <charset val="134"/>
          </rPr>
          <t>与</t>
        </r>
        <r>
          <rPr>
            <sz val="9"/>
            <color indexed="81"/>
            <rFont val="Tahoma"/>
            <family val="2"/>
          </rPr>
          <t>ad</t>
        </r>
        <r>
          <rPr>
            <sz val="9"/>
            <color indexed="81"/>
            <rFont val="宋体"/>
            <family val="3"/>
            <charset val="134"/>
          </rPr>
          <t>是放在一起的，故</t>
        </r>
        <r>
          <rPr>
            <sz val="9"/>
            <color indexed="81"/>
            <rFont val="Tahoma"/>
            <family val="2"/>
          </rPr>
          <t>userid ad</t>
        </r>
        <r>
          <rPr>
            <sz val="9"/>
            <color indexed="81"/>
            <rFont val="宋体"/>
            <family val="3"/>
            <charset val="134"/>
          </rPr>
          <t>中不对其进行计数</t>
        </r>
      </text>
    </comment>
    <comment ref="B1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其中</t>
        </r>
        <r>
          <rPr>
            <sz val="9"/>
            <color indexed="81"/>
            <rFont val="Tahoma"/>
            <family val="2"/>
          </rPr>
          <t>NAT</t>
        </r>
        <r>
          <rPr>
            <sz val="9"/>
            <color indexed="81"/>
            <rFont val="宋体"/>
            <family val="3"/>
            <charset val="134"/>
          </rPr>
          <t>具体使用的硬表，参见</t>
        </r>
        <r>
          <rPr>
            <sz val="9"/>
            <color indexed="81"/>
            <rFont val="Tahoma"/>
            <family val="2"/>
          </rPr>
          <t>sheet</t>
        </r>
        <r>
          <rPr>
            <sz val="9"/>
            <color indexed="81"/>
            <rFont val="宋体"/>
            <family val="3"/>
            <charset val="134"/>
          </rPr>
          <t>（</t>
        </r>
        <r>
          <rPr>
            <sz val="9"/>
            <color indexed="81"/>
            <rFont val="Tahoma"/>
            <family val="2"/>
          </rPr>
          <t>IP</t>
        </r>
        <r>
          <rPr>
            <sz val="9"/>
            <color indexed="81"/>
            <rFont val="宋体"/>
            <family val="3"/>
            <charset val="134"/>
          </rPr>
          <t>）</t>
        </r>
      </text>
    </comment>
    <comment ref="H13" authorId="0">
      <text>
        <r>
          <rPr>
            <b/>
            <sz val="9"/>
            <color indexed="81"/>
            <rFont val="宋体"/>
            <family val="3"/>
            <charset val="134"/>
          </rPr>
          <t>作者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dsmac</t>
        </r>
        <r>
          <rPr>
            <sz val="9"/>
            <color indexed="81"/>
            <rFont val="宋体"/>
            <family val="3"/>
            <charset val="134"/>
          </rPr>
          <t>是以</t>
        </r>
        <r>
          <rPr>
            <sz val="9"/>
            <color indexed="81"/>
            <rFont val="Tahoma"/>
            <family val="2"/>
          </rPr>
          <t>80bit</t>
        </r>
        <r>
          <rPr>
            <sz val="9"/>
            <color indexed="81"/>
            <rFont val="宋体"/>
            <family val="3"/>
            <charset val="134"/>
          </rPr>
          <t>为单位的
备注：由于</t>
        </r>
        <r>
          <rPr>
            <sz val="9"/>
            <color indexed="81"/>
            <rFont val="Tahoma"/>
            <family val="2"/>
          </rPr>
          <t>key</t>
        </r>
        <r>
          <rPr>
            <sz val="9"/>
            <color indexed="81"/>
            <rFont val="宋体"/>
            <family val="3"/>
            <charset val="134"/>
          </rPr>
          <t>：</t>
        </r>
        <r>
          <rPr>
            <sz val="9"/>
            <color indexed="81"/>
            <rFont val="Tahoma"/>
            <family val="2"/>
          </rPr>
          <t>AD</t>
        </r>
        <r>
          <rPr>
            <sz val="9"/>
            <color indexed="81"/>
            <rFont val="宋体"/>
            <family val="3"/>
            <charset val="134"/>
          </rPr>
          <t>的比值存在很大的情况，故这里计算出的</t>
        </r>
        <r>
          <rPr>
            <sz val="9"/>
            <color indexed="81"/>
            <rFont val="Tahoma"/>
            <family val="2"/>
          </rPr>
          <t>AD</t>
        </r>
        <r>
          <rPr>
            <sz val="9"/>
            <color indexed="81"/>
            <rFont val="宋体"/>
            <family val="3"/>
            <charset val="134"/>
          </rPr>
          <t xml:space="preserve">的大小略大于资源的大小是可以接受的
</t>
        </r>
      </text>
    </comment>
    <comment ref="C15" author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OAM</t>
        </r>
        <r>
          <rPr>
            <sz val="9"/>
            <color indexed="81"/>
            <rFont val="宋体"/>
            <family val="3"/>
            <charset val="134"/>
          </rPr>
          <t>中包括：</t>
        </r>
        <r>
          <rPr>
            <sz val="9"/>
            <color indexed="81"/>
            <rFont val="Tahoma"/>
            <family val="2"/>
          </rPr>
          <t>BFD</t>
        </r>
        <r>
          <rPr>
            <sz val="9"/>
            <color indexed="81"/>
            <rFont val="宋体"/>
            <family val="3"/>
            <charset val="134"/>
          </rPr>
          <t>、</t>
        </r>
        <r>
          <rPr>
            <sz val="9"/>
            <color indexed="81"/>
            <rFont val="Tahoma"/>
            <family val="2"/>
          </rPr>
          <t>ETHOAM</t>
        </r>
        <r>
          <rPr>
            <sz val="9"/>
            <color indexed="81"/>
            <rFont val="宋体"/>
            <family val="3"/>
            <charset val="134"/>
          </rPr>
          <t>、</t>
        </r>
        <r>
          <rPr>
            <sz val="9"/>
            <color indexed="81"/>
            <rFont val="Tahoma"/>
            <family val="2"/>
          </rPr>
          <t>Y1731</t>
        </r>
      </text>
    </comment>
    <comment ref="H16" author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DsIpfixSessionRecord</t>
        </r>
        <r>
          <rPr>
            <sz val="9"/>
            <color indexed="81"/>
            <rFont val="宋体"/>
            <family val="3"/>
            <charset val="134"/>
          </rPr>
          <t>是一张</t>
        </r>
        <r>
          <rPr>
            <sz val="9"/>
            <color indexed="81"/>
            <rFont val="Tahoma"/>
            <family val="2"/>
          </rPr>
          <t>6w</t>
        </r>
        <r>
          <rPr>
            <sz val="9"/>
            <color indexed="81"/>
            <rFont val="宋体"/>
            <family val="3"/>
            <charset val="134"/>
          </rPr>
          <t>的表</t>
        </r>
      </text>
    </comment>
    <comment ref="H17" authorId="0">
      <text>
        <r>
          <rPr>
            <b/>
            <sz val="9"/>
            <color indexed="81"/>
            <rFont val="宋体"/>
            <family val="3"/>
            <charset val="134"/>
          </rPr>
          <t>作者:
对于主机路由，</t>
        </r>
        <r>
          <rPr>
            <b/>
            <sz val="9"/>
            <color indexed="81"/>
            <rFont val="Tahoma"/>
            <family val="2"/>
          </rPr>
          <t>key</t>
        </r>
        <r>
          <rPr>
            <b/>
            <sz val="9"/>
            <color indexed="81"/>
            <rFont val="宋体"/>
            <family val="3"/>
            <charset val="134"/>
          </rPr>
          <t>：</t>
        </r>
        <r>
          <rPr>
            <b/>
            <sz val="9"/>
            <color indexed="81"/>
            <rFont val="Tahoma"/>
            <family val="2"/>
          </rPr>
          <t xml:space="preserve">AD = 1:1
</t>
        </r>
        <r>
          <rPr>
            <b/>
            <sz val="9"/>
            <color indexed="81"/>
            <rFont val="宋体"/>
            <family val="3"/>
            <charset val="134"/>
          </rPr>
          <t>对于</t>
        </r>
        <r>
          <rPr>
            <b/>
            <sz val="9"/>
            <color indexed="81"/>
            <rFont val="Tahoma"/>
            <family val="2"/>
          </rPr>
          <t>IPMC</t>
        </r>
        <r>
          <rPr>
            <b/>
            <sz val="9"/>
            <color indexed="81"/>
            <rFont val="宋体"/>
            <family val="3"/>
            <charset val="134"/>
          </rPr>
          <t>，</t>
        </r>
        <r>
          <rPr>
            <b/>
            <sz val="9"/>
            <color indexed="81"/>
            <rFont val="Tahoma"/>
            <family val="2"/>
          </rPr>
          <t>key</t>
        </r>
        <r>
          <rPr>
            <b/>
            <sz val="9"/>
            <color indexed="81"/>
            <rFont val="宋体"/>
            <family val="3"/>
            <charset val="134"/>
          </rPr>
          <t>：</t>
        </r>
        <r>
          <rPr>
            <b/>
            <sz val="9"/>
            <color indexed="81"/>
            <rFont val="Tahoma"/>
            <family val="2"/>
          </rPr>
          <t xml:space="preserve">AD=1:1
</t>
        </r>
        <r>
          <rPr>
            <b/>
            <sz val="9"/>
            <color indexed="81"/>
            <rFont val="宋体"/>
            <family val="3"/>
            <charset val="134"/>
          </rPr>
          <t>对于非主机路由，</t>
        </r>
        <r>
          <rPr>
            <b/>
            <sz val="9"/>
            <color indexed="81"/>
            <rFont val="Tahoma"/>
            <family val="2"/>
          </rPr>
          <t>key</t>
        </r>
        <r>
          <rPr>
            <b/>
            <sz val="9"/>
            <color indexed="81"/>
            <rFont val="宋体"/>
            <family val="3"/>
            <charset val="134"/>
          </rPr>
          <t>：</t>
        </r>
        <r>
          <rPr>
            <b/>
            <sz val="9"/>
            <color indexed="81"/>
            <rFont val="Tahoma"/>
            <family val="2"/>
          </rPr>
          <t>AD=2:1</t>
        </r>
      </text>
    </comment>
    <comment ref="C1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由于非主机路由独占一块</t>
        </r>
        <r>
          <rPr>
            <sz val="9"/>
            <color indexed="81"/>
            <rFont val="Tahoma"/>
            <family val="2"/>
          </rPr>
          <t>tcam</t>
        </r>
        <r>
          <rPr>
            <sz val="9"/>
            <color indexed="81"/>
            <rFont val="宋体"/>
            <family val="3"/>
            <charset val="134"/>
          </rPr>
          <t>故无需对此资源进行统计</t>
        </r>
      </text>
    </comment>
    <comment ref="E19" author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80bit</t>
        </r>
        <r>
          <rPr>
            <sz val="9"/>
            <color indexed="81"/>
            <rFont val="宋体"/>
            <family val="3"/>
            <charset val="134"/>
          </rPr>
          <t>为对应</t>
        </r>
        <r>
          <rPr>
            <sz val="9"/>
            <color indexed="81"/>
            <rFont val="Tahoma"/>
            <family val="2"/>
          </rPr>
          <t>hash</t>
        </r>
        <r>
          <rPr>
            <sz val="9"/>
            <color indexed="81"/>
            <rFont val="宋体"/>
            <family val="3"/>
            <charset val="134"/>
          </rPr>
          <t xml:space="preserve">表的单位
</t>
        </r>
        <r>
          <rPr>
            <sz val="9"/>
            <color indexed="81"/>
            <rFont val="Tahoma"/>
            <family val="2"/>
          </rPr>
          <t>40bit</t>
        </r>
        <r>
          <rPr>
            <sz val="9"/>
            <color indexed="81"/>
            <rFont val="宋体"/>
            <family val="3"/>
            <charset val="134"/>
          </rPr>
          <t>为对应</t>
        </r>
        <r>
          <rPr>
            <sz val="9"/>
            <color indexed="81"/>
            <rFont val="Tahoma"/>
            <family val="2"/>
          </rPr>
          <t>tcam</t>
        </r>
        <r>
          <rPr>
            <sz val="9"/>
            <color indexed="81"/>
            <rFont val="宋体"/>
            <family val="3"/>
            <charset val="134"/>
          </rPr>
          <t>表的单位</t>
        </r>
      </text>
    </comment>
    <comment ref="H1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此值为</t>
        </r>
        <r>
          <rPr>
            <sz val="9"/>
            <color indexed="81"/>
            <rFont val="Tahoma"/>
            <family val="2"/>
          </rPr>
          <t>OAM</t>
        </r>
        <r>
          <rPr>
            <sz val="9"/>
            <color indexed="81"/>
            <rFont val="宋体"/>
            <family val="3"/>
            <charset val="134"/>
          </rPr>
          <t>会话数目的</t>
        </r>
        <r>
          <rPr>
            <sz val="9"/>
            <color indexed="81"/>
            <rFont val="Tahoma"/>
            <family val="2"/>
          </rPr>
          <t>1/4</t>
        </r>
      </text>
    </comment>
    <comment ref="C20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对于存在</t>
        </r>
        <r>
          <rPr>
            <sz val="9"/>
            <color indexed="81"/>
            <rFont val="Tahoma"/>
            <family val="2"/>
          </rPr>
          <t>DA+SA</t>
        </r>
        <r>
          <rPr>
            <sz val="9"/>
            <color indexed="81"/>
            <rFont val="宋体"/>
            <family val="3"/>
            <charset val="134"/>
          </rPr>
          <t>的情况，</t>
        </r>
        <r>
          <rPr>
            <sz val="9"/>
            <color indexed="81"/>
            <rFont val="Tahoma"/>
            <family val="2"/>
          </rPr>
          <t>fibhost0</t>
        </r>
        <r>
          <rPr>
            <sz val="9"/>
            <color indexed="81"/>
            <rFont val="宋体"/>
            <family val="3"/>
            <charset val="134"/>
          </rPr>
          <t>与</t>
        </r>
        <r>
          <rPr>
            <sz val="9"/>
            <color indexed="81"/>
            <rFont val="Tahoma"/>
            <family val="2"/>
          </rPr>
          <t>fibhost1</t>
        </r>
        <r>
          <rPr>
            <sz val="9"/>
            <color indexed="81"/>
            <rFont val="宋体"/>
            <family val="3"/>
            <charset val="134"/>
          </rPr>
          <t>都需要下</t>
        </r>
        <r>
          <rPr>
            <sz val="9"/>
            <color indexed="81"/>
            <rFont val="Tahoma"/>
            <family val="2"/>
          </rPr>
          <t>key</t>
        </r>
        <r>
          <rPr>
            <sz val="9"/>
            <color indexed="81"/>
            <rFont val="宋体"/>
            <family val="3"/>
            <charset val="134"/>
          </rPr>
          <t>；对于只有</t>
        </r>
        <r>
          <rPr>
            <sz val="9"/>
            <color indexed="81"/>
            <rFont val="Tahoma"/>
            <family val="2"/>
          </rPr>
          <t>SA</t>
        </r>
        <r>
          <rPr>
            <sz val="9"/>
            <color indexed="81"/>
            <rFont val="宋体"/>
            <family val="3"/>
            <charset val="134"/>
          </rPr>
          <t>的情况只下载</t>
        </r>
        <r>
          <rPr>
            <sz val="9"/>
            <color indexed="81"/>
            <rFont val="Tahoma"/>
            <family val="2"/>
          </rPr>
          <t>fibhost1</t>
        </r>
        <r>
          <rPr>
            <sz val="9"/>
            <color indexed="81"/>
            <rFont val="宋体"/>
            <family val="3"/>
            <charset val="134"/>
          </rPr>
          <t>中。故需要在两个表中都统计</t>
        </r>
        <r>
          <rPr>
            <sz val="9"/>
            <color indexed="81"/>
            <rFont val="Tahoma"/>
            <family val="2"/>
          </rPr>
          <t>IPMC</t>
        </r>
      </text>
    </comment>
    <comment ref="D2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由于</t>
        </r>
        <r>
          <rPr>
            <sz val="9"/>
            <color indexed="81"/>
            <rFont val="Tahoma"/>
            <family val="2"/>
          </rPr>
          <t>key</t>
        </r>
        <r>
          <rPr>
            <sz val="9"/>
            <color indexed="81"/>
            <rFont val="宋体"/>
            <family val="3"/>
            <charset val="134"/>
          </rPr>
          <t>：</t>
        </r>
        <r>
          <rPr>
            <sz val="9"/>
            <color indexed="81"/>
            <rFont val="Tahoma"/>
            <family val="2"/>
          </rPr>
          <t>ad</t>
        </r>
        <r>
          <rPr>
            <sz val="9"/>
            <color indexed="81"/>
            <rFont val="宋体"/>
            <family val="3"/>
            <charset val="134"/>
          </rPr>
          <t>比值预期</t>
        </r>
        <r>
          <rPr>
            <sz val="9"/>
            <color indexed="81"/>
            <rFont val="Tahoma"/>
            <family val="2"/>
          </rPr>
          <t>4:1.</t>
        </r>
        <r>
          <rPr>
            <sz val="9"/>
            <color indexed="81"/>
            <rFont val="宋体"/>
            <family val="3"/>
            <charset val="134"/>
          </rPr>
          <t>故此处值不能小于</t>
        </r>
        <r>
          <rPr>
            <sz val="9"/>
            <color indexed="81"/>
            <rFont val="Tahoma"/>
            <family val="2"/>
          </rPr>
          <t>4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作者:
这里填写所支持的业务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 xml:space="preserve">作者:
这里填写模块使用到的硬表
</t>
        </r>
      </text>
    </comment>
  </commentList>
</comments>
</file>

<file path=xl/sharedStrings.xml><?xml version="1.0" encoding="utf-8"?>
<sst xmlns="http://schemas.openxmlformats.org/spreadsheetml/2006/main" count="1024" uniqueCount="666">
  <si>
    <t>Module</t>
    <phoneticPr fontId="1" type="noConversion"/>
  </si>
  <si>
    <t>App</t>
    <phoneticPr fontId="1" type="noConversion"/>
  </si>
  <si>
    <t>Keys</t>
    <phoneticPr fontId="1" type="noConversion"/>
  </si>
  <si>
    <t>DsUserIdDoubleVlanPortHashKey</t>
    <phoneticPr fontId="1" type="noConversion"/>
  </si>
  <si>
    <t>DsUserIdMacHashKey</t>
    <phoneticPr fontId="1" type="noConversion"/>
  </si>
  <si>
    <t>DsUserIdPortHashKey</t>
    <phoneticPr fontId="1" type="noConversion"/>
  </si>
  <si>
    <t>MPLS</t>
  </si>
  <si>
    <t>KeySize(bit)</t>
    <phoneticPr fontId="1" type="noConversion"/>
  </si>
  <si>
    <t>DsLpmTcamIpv440Key</t>
    <phoneticPr fontId="1" type="noConversion"/>
  </si>
  <si>
    <t>DsFlowL3Ipv4HashKey</t>
    <phoneticPr fontId="1" type="noConversion"/>
  </si>
  <si>
    <t>DsFlowL2L3HashKey</t>
    <phoneticPr fontId="1" type="noConversion"/>
  </si>
  <si>
    <t>DsFlowL3MplsHashKey</t>
    <phoneticPr fontId="1" type="noConversion"/>
  </si>
  <si>
    <t>DsEgressXcOamEthHashKey</t>
    <phoneticPr fontId="1" type="noConversion"/>
  </si>
  <si>
    <t>DsEgressXcOamMplsSectionHashKey</t>
    <phoneticPr fontId="1" type="noConversion"/>
  </si>
  <si>
    <t>DsEgressXcOamRmepHashKey</t>
    <phoneticPr fontId="1" type="noConversion"/>
  </si>
  <si>
    <t>DsUserIdTunnelIpv4DaHashKey</t>
    <phoneticPr fontId="1" type="noConversion"/>
  </si>
  <si>
    <t>DsUserIdTunnelIpv4GreKeyHashKey</t>
    <phoneticPr fontId="1" type="noConversion"/>
  </si>
  <si>
    <t>DsUserIdTunnelIpv4HashKey</t>
    <phoneticPr fontId="1" type="noConversion"/>
  </si>
  <si>
    <t>DsUserIdTunnelIpv4RpfHashKey</t>
    <phoneticPr fontId="1" type="noConversion"/>
  </si>
  <si>
    <t>DsFibHost0Ipv6UcastHashKey</t>
    <phoneticPr fontId="1" type="noConversion"/>
  </si>
  <si>
    <t>DsFibHost1Ipv4NatSaPortHashKey</t>
    <phoneticPr fontId="1" type="noConversion"/>
  </si>
  <si>
    <t>DsFibHost1Ipv4NatDaPortHashKey</t>
    <phoneticPr fontId="1" type="noConversion"/>
  </si>
  <si>
    <t>IP Host</t>
    <phoneticPr fontId="1" type="noConversion"/>
  </si>
  <si>
    <t>IPMC</t>
    <phoneticPr fontId="1" type="noConversion"/>
  </si>
  <si>
    <t>Vlan Mapping</t>
    <phoneticPr fontId="1" type="noConversion"/>
  </si>
  <si>
    <t>Vlan Class</t>
    <phoneticPr fontId="1" type="noConversion"/>
  </si>
  <si>
    <t>IP Source Guard</t>
    <phoneticPr fontId="1" type="noConversion"/>
  </si>
  <si>
    <t>SCL</t>
    <phoneticPr fontId="1" type="noConversion"/>
  </si>
  <si>
    <t>Sub App</t>
    <phoneticPr fontId="1" type="noConversion"/>
  </si>
  <si>
    <t xml:space="preserve">mac-based </t>
    <phoneticPr fontId="1" type="noConversion"/>
  </si>
  <si>
    <t>ipv4-based</t>
    <phoneticPr fontId="1" type="noConversion"/>
  </si>
  <si>
    <t>ipv6-based</t>
    <phoneticPr fontId="1" type="noConversion"/>
  </si>
  <si>
    <t>DsUserIdIpv6PortHashKey</t>
    <phoneticPr fontId="1" type="noConversion"/>
  </si>
  <si>
    <t>VLAN MAPPING</t>
    <phoneticPr fontId="1" type="noConversion"/>
  </si>
  <si>
    <t>DsUserIdSvlanPortHashKey</t>
    <phoneticPr fontId="1" type="noConversion"/>
  </si>
  <si>
    <t>i</t>
    <phoneticPr fontId="1" type="noConversion"/>
  </si>
  <si>
    <t>IP Tunnel</t>
    <phoneticPr fontId="1" type="noConversion"/>
  </si>
  <si>
    <t>IPUC Tunnel</t>
    <phoneticPr fontId="1" type="noConversion"/>
  </si>
  <si>
    <t>NVGRE</t>
    <phoneticPr fontId="1" type="noConversion"/>
  </si>
  <si>
    <t>DsUserIdTunnelIpv4NvgreMode1HashKey</t>
  </si>
  <si>
    <t>DsUserIdTunnelIpv4UcNvgreMode0HashKey</t>
  </si>
  <si>
    <t>DsUserIdTunnelIpv4UcNvgreMode1HashKey</t>
  </si>
  <si>
    <t>DsUserIdTunnelIpv6McNvgreMode0HashKey</t>
  </si>
  <si>
    <t>DsUserIdTunnelIpv6McNvgreMode1HashKey</t>
  </si>
  <si>
    <t>DsUserIdTunnelIpv6UcNvgreMode0HashKey</t>
  </si>
  <si>
    <t>VXLAN</t>
    <phoneticPr fontId="1" type="noConversion"/>
  </si>
  <si>
    <t>DsUserIdTunnelIpv4McVxlanMode0HashKey</t>
  </si>
  <si>
    <t>DsUserIdTunnelIpv4VxlanMode1HashKey</t>
  </si>
  <si>
    <t>DsUserIdTunnelIpv4UcVxlanMode0HashKey</t>
  </si>
  <si>
    <t>DsUserIdTunnelIpv4UcVxlanMode1HashKey</t>
  </si>
  <si>
    <t>DsUserIdTunnelIpv6McVxlanMode0HashKey</t>
  </si>
  <si>
    <t>DsUserIdTunnelIpv6McVxlanMode1HashKey</t>
  </si>
  <si>
    <t>DsUserIdTunnelIpv6UcVxlanMode0HashKey</t>
  </si>
  <si>
    <t>DsUserIdTunnelIpv6UcVxlanMode1HashKey</t>
  </si>
  <si>
    <t>DsUserIdIpv4PortHashKey</t>
    <phoneticPr fontId="1" type="noConversion"/>
  </si>
  <si>
    <t>VXLAN/VXLAN-GPE/GENEVE</t>
    <phoneticPr fontId="1" type="noConversion"/>
  </si>
  <si>
    <t>DsEgressXcOamBfdHashKey</t>
    <phoneticPr fontId="1" type="noConversion"/>
  </si>
  <si>
    <t>DsEgressXcOamMplsLabelHashKey</t>
    <phoneticPr fontId="1" type="noConversion"/>
  </si>
  <si>
    <t>L2MC</t>
    <phoneticPr fontId="1" type="noConversion"/>
  </si>
  <si>
    <t>Key Size</t>
    <phoneticPr fontId="1" type="noConversion"/>
  </si>
  <si>
    <t>Key Size</t>
    <phoneticPr fontId="1" type="noConversion"/>
  </si>
  <si>
    <t>Recommend Size</t>
    <phoneticPr fontId="1" type="noConversion"/>
  </si>
  <si>
    <t>Key Size</t>
    <phoneticPr fontId="1" type="noConversion"/>
  </si>
  <si>
    <t>Recommend Size</t>
    <phoneticPr fontId="1" type="noConversion"/>
  </si>
  <si>
    <t>Recommend Size</t>
    <phoneticPr fontId="1" type="noConversion"/>
  </si>
  <si>
    <t>SCL FLOW</t>
    <phoneticPr fontId="1" type="noConversion"/>
  </si>
  <si>
    <t>App</t>
    <phoneticPr fontId="1" type="noConversion"/>
  </si>
  <si>
    <t>Sub App</t>
    <phoneticPr fontId="1" type="noConversion"/>
  </si>
  <si>
    <t>Keys</t>
    <phoneticPr fontId="1" type="noConversion"/>
  </si>
  <si>
    <t>Key Size</t>
    <phoneticPr fontId="1" type="noConversion"/>
  </si>
  <si>
    <t>Recommend Size</t>
    <phoneticPr fontId="1" type="noConversion"/>
  </si>
  <si>
    <t>IP</t>
    <phoneticPr fontId="1" type="noConversion"/>
  </si>
  <si>
    <t>TP</t>
    <phoneticPr fontId="1" type="noConversion"/>
  </si>
  <si>
    <t>DsEgressXcOamMplsLabelHashKey</t>
    <phoneticPr fontId="1" type="noConversion"/>
  </si>
  <si>
    <t>DsEgressXcOamMplsSectionHashKey</t>
    <phoneticPr fontId="1" type="noConversion"/>
  </si>
  <si>
    <t>DsEgressXcOamDoubleVlanPortHashKey</t>
    <phoneticPr fontId="1" type="noConversion"/>
  </si>
  <si>
    <t>DsEgressXcOamSvlanPortMacHashKey</t>
    <phoneticPr fontId="1" type="noConversion"/>
  </si>
  <si>
    <t>DsUserIdPortHashKey</t>
    <phoneticPr fontId="1" type="noConversion"/>
  </si>
  <si>
    <t>DsUserIdDoubleVlanPortHashKey</t>
    <phoneticPr fontId="1" type="noConversion"/>
  </si>
  <si>
    <t>DsUserIdSvlanPortHashKey</t>
    <phoneticPr fontId="1" type="noConversion"/>
  </si>
  <si>
    <t>Overlay</t>
    <phoneticPr fontId="1" type="noConversion"/>
  </si>
  <si>
    <t>DsUserIdMacPortHashKey</t>
    <phoneticPr fontId="1" type="noConversion"/>
  </si>
  <si>
    <t>DsUserIdIpv6PortHashKey</t>
    <phoneticPr fontId="1" type="noConversion"/>
  </si>
  <si>
    <t>DsUserIdIpv4PortHashKey</t>
  </si>
  <si>
    <t>DsUserIdCvlanPortHashKey</t>
    <phoneticPr fontId="1" type="noConversion"/>
  </si>
  <si>
    <t>mac/mac+vlan/ip+mac+vlan</t>
    <phoneticPr fontId="1" type="noConversion"/>
  </si>
  <si>
    <t>DsUserIdMacPortHashKey</t>
    <phoneticPr fontId="1" type="noConversion"/>
  </si>
  <si>
    <t>ip/ip+mac/ip+vlan</t>
    <phoneticPr fontId="1" type="noConversion"/>
  </si>
  <si>
    <t>DsUserIdIpv4PortHashKey</t>
    <phoneticPr fontId="1" type="noConversion"/>
  </si>
  <si>
    <t>ipv6+mac</t>
    <phoneticPr fontId="1" type="noConversion"/>
  </si>
  <si>
    <t>DsUserIdIpv6SaHashKey</t>
  </si>
  <si>
    <t>ACL</t>
    <phoneticPr fontId="1" type="noConversion"/>
  </si>
  <si>
    <t>Flow Hash ACL</t>
    <phoneticPr fontId="1" type="noConversion"/>
  </si>
  <si>
    <t>ipv4-based</t>
  </si>
  <si>
    <t>mpls-based</t>
    <phoneticPr fontId="1" type="noConversion"/>
  </si>
  <si>
    <t>l2l3-based</t>
    <phoneticPr fontId="1" type="noConversion"/>
  </si>
  <si>
    <t>DsFlowL3Ipv6HashKey</t>
    <phoneticPr fontId="1" type="noConversion"/>
  </si>
  <si>
    <t>App</t>
    <phoneticPr fontId="1" type="noConversion"/>
  </si>
  <si>
    <t>Sub App</t>
    <phoneticPr fontId="1" type="noConversion"/>
  </si>
  <si>
    <t>Keys</t>
    <phoneticPr fontId="1" type="noConversion"/>
  </si>
  <si>
    <t>Key Size</t>
    <phoneticPr fontId="1" type="noConversion"/>
  </si>
  <si>
    <t>Recommend Size</t>
    <phoneticPr fontId="1" type="noConversion"/>
  </si>
  <si>
    <t>IP LPM</t>
    <phoneticPr fontId="1" type="noConversion"/>
  </si>
  <si>
    <t>IPMC</t>
    <phoneticPr fontId="1" type="noConversion"/>
  </si>
  <si>
    <t>L2MC</t>
    <phoneticPr fontId="1" type="noConversion"/>
  </si>
  <si>
    <t>DsFibHost0MacIpv6McastHashKey</t>
    <phoneticPr fontId="1" type="noConversion"/>
  </si>
  <si>
    <t>DsFibHost1Ipv4McastHashKey</t>
    <phoneticPr fontId="1" type="noConversion"/>
  </si>
  <si>
    <t>DsFibHost1Ipv6McastHashKey</t>
    <phoneticPr fontId="1" type="noConversion"/>
  </si>
  <si>
    <t>DsFibHost1MacIpv4McastHashKey</t>
    <phoneticPr fontId="1" type="noConversion"/>
  </si>
  <si>
    <t>DsFibHost1MacIpv6McastHashKey</t>
    <phoneticPr fontId="1" type="noConversion"/>
  </si>
  <si>
    <t>Module</t>
    <phoneticPr fontId="1" type="noConversion"/>
  </si>
  <si>
    <t>Application</t>
    <phoneticPr fontId="1" type="noConversion"/>
  </si>
  <si>
    <t>Key Size(bit)</t>
    <phoneticPr fontId="1" type="noConversion"/>
  </si>
  <si>
    <t>Rerource Name</t>
    <phoneticPr fontId="1" type="noConversion"/>
  </si>
  <si>
    <t>Total</t>
    <phoneticPr fontId="1" type="noConversion"/>
  </si>
  <si>
    <t>QinQ</t>
    <phoneticPr fontId="1" type="noConversion"/>
  </si>
  <si>
    <t>Vpws AC</t>
    <phoneticPr fontId="1" type="noConversion"/>
  </si>
  <si>
    <t>Vpls AC</t>
    <phoneticPr fontId="1" type="noConversion"/>
  </si>
  <si>
    <t>Vlan Tranlation （Ingress）</t>
    <phoneticPr fontId="1" type="noConversion"/>
  </si>
  <si>
    <t>Vlan Class</t>
    <phoneticPr fontId="1" type="noConversion"/>
  </si>
  <si>
    <t>Vlan Tranlation （Egress）</t>
    <phoneticPr fontId="1" type="noConversion"/>
  </si>
  <si>
    <t>QinQ</t>
    <phoneticPr fontId="1" type="noConversion"/>
  </si>
  <si>
    <t>BFD</t>
    <phoneticPr fontId="1" type="noConversion"/>
  </si>
  <si>
    <t>ETHOAM</t>
    <phoneticPr fontId="1" type="noConversion"/>
  </si>
  <si>
    <t>TP-Y1731</t>
    <phoneticPr fontId="1" type="noConversion"/>
  </si>
  <si>
    <t>ACL</t>
  </si>
  <si>
    <t>ACL</t>
    <phoneticPr fontId="1" type="noConversion"/>
  </si>
  <si>
    <t>IP Host</t>
    <phoneticPr fontId="1" type="noConversion"/>
  </si>
  <si>
    <t>Indirect Route</t>
    <phoneticPr fontId="1" type="noConversion"/>
  </si>
  <si>
    <t>80/40</t>
    <phoneticPr fontId="1" type="noConversion"/>
  </si>
  <si>
    <t>Tunnul Decap</t>
    <phoneticPr fontId="1" type="noConversion"/>
  </si>
  <si>
    <t>OAM</t>
    <phoneticPr fontId="1" type="noConversion"/>
  </si>
  <si>
    <t>MPLS</t>
    <phoneticPr fontId="1" type="noConversion"/>
  </si>
  <si>
    <t>MAC</t>
    <phoneticPr fontId="1" type="noConversion"/>
  </si>
  <si>
    <t>Fdb</t>
    <phoneticPr fontId="1" type="noConversion"/>
  </si>
  <si>
    <t>IPFIX</t>
    <phoneticPr fontId="1" type="noConversion"/>
  </si>
  <si>
    <t>ipfix</t>
    <phoneticPr fontId="1" type="noConversion"/>
  </si>
  <si>
    <t>USERID_HASH_KEY</t>
    <phoneticPr fontId="1" type="noConversion"/>
  </si>
  <si>
    <t>DsUserIdCvlanPortHashKey</t>
    <phoneticPr fontId="1" type="noConversion"/>
  </si>
  <si>
    <t>DsUserIdTunnelIpv4McNvgreMode0HashKey</t>
    <phoneticPr fontId="1" type="noConversion"/>
  </si>
  <si>
    <t>Flow Hash ACL</t>
    <phoneticPr fontId="1" type="noConversion"/>
  </si>
  <si>
    <t>IGS_ACL0</t>
  </si>
  <si>
    <t>DsFlowL2HashKey</t>
    <phoneticPr fontId="1" type="noConversion"/>
  </si>
  <si>
    <t>IPUC</t>
    <phoneticPr fontId="1" type="noConversion"/>
  </si>
  <si>
    <t>APS</t>
    <phoneticPr fontId="1" type="noConversion"/>
  </si>
  <si>
    <t>FLOW_HASH_KEY</t>
  </si>
  <si>
    <t>DsFibHost0Ipv4HashKey</t>
    <phoneticPr fontId="1" type="noConversion"/>
  </si>
  <si>
    <t>NAT</t>
    <phoneticPr fontId="1" type="noConversion"/>
  </si>
  <si>
    <t>FIB1_HASH_KEY</t>
    <phoneticPr fontId="1" type="noConversion"/>
  </si>
  <si>
    <t>IPFIX_HASH_KEY</t>
    <phoneticPr fontId="1" type="noConversion"/>
  </si>
  <si>
    <t>LPM_LKP_KEY</t>
    <phoneticPr fontId="1" type="noConversion"/>
  </si>
  <si>
    <t>VSI</t>
    <phoneticPr fontId="1" type="noConversion"/>
  </si>
  <si>
    <t>VLAN</t>
    <phoneticPr fontId="1" type="noConversion"/>
  </si>
  <si>
    <t>OAM_APS</t>
  </si>
  <si>
    <t>OAM_LM</t>
  </si>
  <si>
    <t>L2</t>
    <phoneticPr fontId="1" type="noConversion"/>
  </si>
  <si>
    <t>Conflict Percent</t>
    <phoneticPr fontId="1" type="noConversion"/>
  </si>
  <si>
    <t>DsLpmLookupKey</t>
    <phoneticPr fontId="1" type="noConversion"/>
  </si>
  <si>
    <t>DsLpmTcamIpv6160Key0</t>
    <phoneticPr fontId="1" type="noConversion"/>
  </si>
  <si>
    <t>Tbl Name</t>
    <phoneticPr fontId="1" type="noConversion"/>
  </si>
  <si>
    <t>Use</t>
    <phoneticPr fontId="1" type="noConversion"/>
  </si>
  <si>
    <t>XCOAM_HASH_KEY</t>
    <phoneticPr fontId="1" type="noConversion"/>
  </si>
  <si>
    <t>FIB0_HASH_KEY</t>
    <phoneticPr fontId="1" type="noConversion"/>
  </si>
  <si>
    <t>Total</t>
    <phoneticPr fontId="1" type="noConversion"/>
  </si>
  <si>
    <t>Size</t>
    <phoneticPr fontId="1" type="noConversion"/>
  </si>
  <si>
    <t>yes</t>
    <phoneticPr fontId="1" type="noConversion"/>
  </si>
  <si>
    <t>eDRam ID</t>
    <phoneticPr fontId="1" type="noConversion"/>
  </si>
  <si>
    <t>no</t>
    <phoneticPr fontId="1" type="noConversion"/>
  </si>
  <si>
    <t>USERID_AD</t>
    <phoneticPr fontId="1" type="noConversion"/>
  </si>
  <si>
    <t>DSMAC_AD</t>
    <phoneticPr fontId="1" type="noConversion"/>
  </si>
  <si>
    <t>DSMAC_AD</t>
    <phoneticPr fontId="1" type="noConversion"/>
  </si>
  <si>
    <t>FLOW_AD</t>
    <phoneticPr fontId="1" type="noConversion"/>
  </si>
  <si>
    <t>FLOW_AD</t>
    <phoneticPr fontId="1" type="noConversion"/>
  </si>
  <si>
    <t>IPFIX_AD</t>
    <phoneticPr fontId="1" type="noConversion"/>
  </si>
  <si>
    <t>DSIP_AD</t>
    <phoneticPr fontId="1" type="noConversion"/>
  </si>
  <si>
    <t>DSIP_AD</t>
    <phoneticPr fontId="1" type="noConversion"/>
  </si>
  <si>
    <t>Overlay</t>
    <phoneticPr fontId="1" type="noConversion"/>
  </si>
  <si>
    <t>表格1：各特性使用Nexthop资源汇总</t>
    <phoneticPr fontId="2" type="noConversion"/>
  </si>
  <si>
    <t>特性</t>
    <phoneticPr fontId="2" type="noConversion"/>
  </si>
  <si>
    <t>数目</t>
    <phoneticPr fontId="2" type="noConversion"/>
  </si>
  <si>
    <t>用户填
写C列</t>
    <phoneticPr fontId="2" type="noConversion"/>
  </si>
  <si>
    <t>DSFWD</t>
    <phoneticPr fontId="2" type="noConversion"/>
  </si>
  <si>
    <t>MET</t>
    <phoneticPr fontId="2" type="noConversion"/>
  </si>
  <si>
    <t>Inner 3W</t>
    <phoneticPr fontId="2" type="noConversion"/>
  </si>
  <si>
    <t>Outer1 3W</t>
    <phoneticPr fontId="2" type="noConversion"/>
  </si>
  <si>
    <t>备注</t>
    <phoneticPr fontId="2" type="noConversion"/>
  </si>
  <si>
    <t>GLB NH 4W</t>
    <phoneticPr fontId="2" type="noConversion"/>
  </si>
  <si>
    <t>LCA NH 4W</t>
    <phoneticPr fontId="2" type="noConversion"/>
  </si>
  <si>
    <t>LCA MET 3W</t>
    <phoneticPr fontId="2" type="noConversion"/>
  </si>
  <si>
    <t>Outer2 3W</t>
    <phoneticPr fontId="2" type="noConversion"/>
  </si>
  <si>
    <t>Outer3 3w</t>
    <phoneticPr fontId="2" type="noConversion"/>
  </si>
  <si>
    <t xml:space="preserve">VLAN数目 </t>
    <phoneticPr fontId="2" type="noConversion"/>
  </si>
  <si>
    <t>二层组播组的数目</t>
    <phoneticPr fontId="2" type="noConversion"/>
  </si>
  <si>
    <t>二层组播组的包含Nexthop的成员总数（APS组播需要填写）</t>
    <phoneticPr fontId="2" type="noConversion"/>
  </si>
  <si>
    <t>路由Arp 数目 （包含LPM路由下一跳）</t>
    <phoneticPr fontId="2" type="noConversion"/>
  </si>
  <si>
    <t>路由Arp 数目中包含LPM路由下一跳的的数目(给LPM路由使用，由于汇聚，故Nexthop少)</t>
    <phoneticPr fontId="2" type="noConversion"/>
  </si>
  <si>
    <t>ECMP组的数目</t>
    <phoneticPr fontId="2" type="noConversion"/>
  </si>
  <si>
    <t>三层组播组的数目</t>
    <phoneticPr fontId="2" type="noConversion"/>
  </si>
  <si>
    <t>平均一个三层组播组中成员数目（至少2个）</t>
    <phoneticPr fontId="2" type="noConversion"/>
  </si>
  <si>
    <t>三层层组播使用L3if的数目(不应该超过整机使用L3if数目，最大1024）</t>
    <phoneticPr fontId="2" type="noConversion"/>
  </si>
  <si>
    <t>VSI</t>
    <phoneticPr fontId="2" type="noConversion"/>
  </si>
  <si>
    <t xml:space="preserve">LSP Tunnel </t>
    <phoneticPr fontId="2" type="noConversion"/>
  </si>
  <si>
    <t>LSP Tunnel 中带SPME的数目</t>
    <phoneticPr fontId="2" type="noConversion"/>
  </si>
  <si>
    <t>PW for L3VPN/ LSP Swap</t>
    <phoneticPr fontId="2" type="noConversion"/>
  </si>
  <si>
    <t>PW for VPLS</t>
    <phoneticPr fontId="2" type="noConversion"/>
  </si>
  <si>
    <t>PW for VPWS</t>
    <phoneticPr fontId="2" type="noConversion"/>
  </si>
  <si>
    <t>VPLS AC</t>
    <phoneticPr fontId="2" type="noConversion"/>
  </si>
  <si>
    <t>VPWS AC</t>
    <phoneticPr fontId="2" type="noConversion"/>
  </si>
  <si>
    <t>在二层网络中支持APS 的流的数目（非物理隔离应用）</t>
    <phoneticPr fontId="2" type="noConversion"/>
  </si>
  <si>
    <t>在二层网络中支持APS 的流的数目（物理隔离应用）</t>
    <phoneticPr fontId="2" type="noConversion"/>
  </si>
  <si>
    <t>1+1 APS 条目数</t>
    <phoneticPr fontId="2" type="noConversion"/>
  </si>
  <si>
    <t>环网保护（RAPS）组的数目</t>
    <phoneticPr fontId="2" type="noConversion"/>
  </si>
  <si>
    <t>平均一个环网保护（RAPS）组中环的数目</t>
    <phoneticPr fontId="2" type="noConversion"/>
  </si>
  <si>
    <t>ACL或SCL使用组播的数目 （用于ACL redirect或SCL中）</t>
    <phoneticPr fontId="2" type="noConversion"/>
  </si>
  <si>
    <t>ACL或SCL使用组播的成员数目 （用于ACL redirect或SCL中）</t>
    <phoneticPr fontId="2" type="noConversion"/>
  </si>
  <si>
    <t>IPV6Inv4 隧道数目（加封装时通过重路由的转发模式）</t>
    <phoneticPr fontId="2" type="noConversion"/>
  </si>
  <si>
    <t>IPV6Inv4 隧道数目（加封装时直接进行报文转发模式）</t>
    <phoneticPr fontId="2" type="noConversion"/>
  </si>
  <si>
    <t>IPV4Inv6 隧道数目</t>
    <phoneticPr fontId="2" type="noConversion"/>
  </si>
  <si>
    <t>IVI6To4/NAT 隧道数目</t>
    <phoneticPr fontId="2" type="noConversion"/>
  </si>
  <si>
    <t>IVI4To6 隧道数目</t>
    <phoneticPr fontId="2" type="noConversion"/>
  </si>
  <si>
    <t>Vxlan/NvGre V4</t>
    <phoneticPr fontId="2" type="noConversion"/>
  </si>
  <si>
    <t>Vxlan/NvGre V4 Cross VNI的数目</t>
    <phoneticPr fontId="2" type="noConversion"/>
  </si>
  <si>
    <t>Vxlan/NvGre V6</t>
    <phoneticPr fontId="2" type="noConversion"/>
  </si>
  <si>
    <t>Vxlan/NvGre V6 Cross VNI的数目</t>
    <phoneticPr fontId="2" type="noConversion"/>
  </si>
  <si>
    <t>Flex L2</t>
    <phoneticPr fontId="2" type="noConversion"/>
  </si>
  <si>
    <t xml:space="preserve">Flex L3 </t>
    <phoneticPr fontId="2" type="noConversion"/>
  </si>
  <si>
    <t>Flex L3 V6的数目</t>
    <phoneticPr fontId="2" type="noConversion"/>
  </si>
  <si>
    <t>Flex L2+L3</t>
    <phoneticPr fontId="2" type="noConversion"/>
  </si>
  <si>
    <t>Flex L2+L3V6的数目</t>
    <phoneticPr fontId="2" type="noConversion"/>
  </si>
  <si>
    <t>远程Mirror 透传二层网络 (预留，无须填写)</t>
    <phoneticPr fontId="2" type="noConversion"/>
  </si>
  <si>
    <t>其他（BPDU tunnel）(预留，无须填写)</t>
    <phoneticPr fontId="2" type="noConversion"/>
  </si>
  <si>
    <t>Iloop Nexthop的数目(预留，无须填写）</t>
    <phoneticPr fontId="2" type="noConversion"/>
  </si>
  <si>
    <t>预留给普通的两层Bridge的Nexthop(预留，不用更改配置)</t>
    <phoneticPr fontId="2" type="noConversion"/>
  </si>
  <si>
    <t>一个BrgUc的nexthop 包含Bridge 和Bypass 两个Nexthop</t>
    <phoneticPr fontId="2" type="noConversion"/>
  </si>
  <si>
    <t>Global DsNexthop (汇总行，无须填写)</t>
    <phoneticPr fontId="2" type="noConversion"/>
  </si>
  <si>
    <t>Global DsMet(汇总行，无须填写)</t>
    <phoneticPr fontId="2" type="noConversion"/>
  </si>
  <si>
    <t>Total</t>
    <phoneticPr fontId="2" type="noConversion"/>
  </si>
  <si>
    <t>附属表格1：资源汇总</t>
    <phoneticPr fontId="2" type="noConversion"/>
  </si>
  <si>
    <t>feature</t>
    <phoneticPr fontId="2" type="noConversion"/>
  </si>
  <si>
    <t>Size(K)</t>
    <phoneticPr fontId="2" type="noConversion"/>
  </si>
  <si>
    <t>DsFwd</t>
    <phoneticPr fontId="2" type="noConversion"/>
  </si>
  <si>
    <t>DsMet</t>
    <phoneticPr fontId="2" type="noConversion"/>
  </si>
  <si>
    <t>DsNexthop</t>
    <phoneticPr fontId="2" type="noConversion"/>
  </si>
  <si>
    <t>DsEdit</t>
    <phoneticPr fontId="2" type="noConversion"/>
  </si>
  <si>
    <r>
      <t>附属表格2：动态SRAM所需最小资源汇总(</t>
    </r>
    <r>
      <rPr>
        <b/>
        <sz val="9"/>
        <color rgb="FFFF0000"/>
        <rFont val="宋体"/>
        <family val="3"/>
        <charset val="134"/>
      </rPr>
      <t>请注意：在不用的Profile中一些动态表是共享的，Left的计算公式需要动态调整)</t>
    </r>
    <phoneticPr fontId="2" type="noConversion"/>
  </si>
  <si>
    <r>
      <t>U</t>
    </r>
    <r>
      <rPr>
        <sz val="12"/>
        <rFont val="宋体"/>
        <family val="3"/>
        <charset val="134"/>
      </rPr>
      <t>sed</t>
    </r>
    <phoneticPr fontId="2" type="noConversion"/>
  </si>
  <si>
    <t>Left</t>
    <phoneticPr fontId="2" type="noConversion"/>
  </si>
  <si>
    <t>DSL2EDIT/DsL3Edit</t>
    <phoneticPr fontId="2" type="noConversion"/>
  </si>
  <si>
    <t>Nexthop Type</t>
  </si>
  <si>
    <t>DsFwd</t>
  </si>
  <si>
    <t>DsMet</t>
  </si>
  <si>
    <t>DsNexthop</t>
  </si>
  <si>
    <t>Inner edit</t>
  </si>
  <si>
    <t>Outer edit</t>
  </si>
  <si>
    <t>l2/l3</t>
  </si>
  <si>
    <t>spme</t>
  </si>
  <si>
    <t>l2</t>
  </si>
  <si>
    <t>bridge</t>
  </si>
  <si>
    <t>NA</t>
  </si>
  <si>
    <t>route(Host)</t>
  </si>
  <si>
    <t>3w</t>
  </si>
  <si>
    <t>route</t>
  </si>
  <si>
    <t>3w(arp)</t>
  </si>
  <si>
    <t>mpls tunnel</t>
  </si>
  <si>
    <t>mpls 1lsp nexthop</t>
  </si>
  <si>
    <t>3w(l3)</t>
  </si>
  <si>
    <t>mpls 2lsp nexthop</t>
  </si>
  <si>
    <t>mpls pw nexthop</t>
  </si>
  <si>
    <t>6w</t>
  </si>
  <si>
    <t>ip tunnel v4</t>
  </si>
  <si>
    <t>6w(l3)</t>
  </si>
  <si>
    <t>ip tunnel v6</t>
  </si>
  <si>
    <t>12w(l3)</t>
  </si>
  <si>
    <t>Vxlan/NvGre v4</t>
  </si>
  <si>
    <t>3w/6w(跨vni)</t>
  </si>
  <si>
    <t>3w(l2)</t>
  </si>
  <si>
    <t>Vxlan/NvGre v6</t>
  </si>
  <si>
    <t>nat</t>
  </si>
  <si>
    <t>ivi 4 to 6</t>
  </si>
  <si>
    <t>6w(13)</t>
  </si>
  <si>
    <t>ivi 6 to 4</t>
  </si>
  <si>
    <t>iloop</t>
  </si>
  <si>
    <t>cpu reseaon</t>
  </si>
  <si>
    <t>l2 edit</t>
  </si>
  <si>
    <t>6w(l2)</t>
  </si>
  <si>
    <t>l3 edit</t>
  </si>
  <si>
    <t xml:space="preserve">6w/12w(IPv6)(L3) </t>
  </si>
  <si>
    <t>l2+l3 edit</t>
  </si>
  <si>
    <t>6w/12w(IPv6)(L3)</t>
  </si>
  <si>
    <t>mcast</t>
  </si>
  <si>
    <t>l2 vlan mcast</t>
  </si>
  <si>
    <t>l3 mcast</t>
  </si>
  <si>
    <t>vpls mcast</t>
  </si>
  <si>
    <t>ecmp</t>
  </si>
  <si>
    <t>OAM_MEP</t>
    <phoneticPr fontId="1" type="noConversion"/>
  </si>
  <si>
    <t>OAM_MA</t>
    <phoneticPr fontId="1" type="noConversion"/>
  </si>
  <si>
    <t>OAM_MA_NAME</t>
    <phoneticPr fontId="1" type="noConversion"/>
  </si>
  <si>
    <t>User Spec(K)</t>
    <phoneticPr fontId="1" type="noConversion"/>
  </si>
  <si>
    <t>EKY</t>
    <phoneticPr fontId="1" type="noConversion"/>
  </si>
  <si>
    <t>AD</t>
    <phoneticPr fontId="1" type="noConversion"/>
  </si>
  <si>
    <t>TCAM</t>
    <phoneticPr fontId="1" type="noConversion"/>
  </si>
  <si>
    <t>DsFibHost0Ipv6McastHashKey</t>
    <phoneticPr fontId="1" type="noConversion"/>
  </si>
  <si>
    <t>配置总汇</t>
    <phoneticPr fontId="1" type="noConversion"/>
  </si>
  <si>
    <t>user</t>
    <phoneticPr fontId="1" type="noConversion"/>
  </si>
  <si>
    <t>conflict</t>
    <phoneticPr fontId="1" type="noConversion"/>
  </si>
  <si>
    <t>eDRam</t>
    <phoneticPr fontId="1" type="noConversion"/>
  </si>
  <si>
    <t>Tcam</t>
    <phoneticPr fontId="1" type="noConversion"/>
  </si>
  <si>
    <t>资源总汇</t>
    <phoneticPr fontId="1" type="noConversion"/>
  </si>
  <si>
    <t>Tcam ID</t>
    <phoneticPr fontId="1" type="noConversion"/>
  </si>
  <si>
    <t>Tbl Name</t>
    <phoneticPr fontId="1" type="noConversion"/>
  </si>
  <si>
    <t>考虑Nexthop做Vlan编辑，故使用DSNexthop8w</t>
  </si>
  <si>
    <t>采用ei-loop的方式，进需要考虑L3Edit,Iloop 回来之后走的是正常的Ipv4 的nexthop</t>
  </si>
  <si>
    <t>不做ei-loop,直接封装3层头和2层头</t>
  </si>
  <si>
    <t>no</t>
    <phoneticPr fontId="1" type="noConversion"/>
  </si>
  <si>
    <t>remain</t>
    <phoneticPr fontId="1" type="noConversion"/>
  </si>
  <si>
    <t>DsEgressXcOamSvlanPortHashKey</t>
    <phoneticPr fontId="1" type="noConversion"/>
  </si>
  <si>
    <t>Vlan Tranlation （Ingress）</t>
    <phoneticPr fontId="1" type="noConversion"/>
  </si>
  <si>
    <t>MAC</t>
  </si>
  <si>
    <t>IP_HOST</t>
  </si>
  <si>
    <t>IP_LPM</t>
  </si>
  <si>
    <t>Scl_Flow</t>
  </si>
  <si>
    <t>Acl_Flow</t>
  </si>
  <si>
    <t>Oam</t>
  </si>
  <si>
    <t>Scl</t>
  </si>
  <si>
    <t>Tunnel_Decp</t>
  </si>
  <si>
    <t>Mpls</t>
  </si>
  <si>
    <t>L2Mcast</t>
  </si>
  <si>
    <t>Fid</t>
  </si>
  <si>
    <t>IPMC</t>
    <phoneticPr fontId="1" type="noConversion"/>
  </si>
  <si>
    <t>FLOW_HASH_KEY</t>
    <phoneticPr fontId="1" type="noConversion"/>
  </si>
  <si>
    <t>0(Memory000)</t>
    <phoneticPr fontId="1" type="noConversion"/>
  </si>
  <si>
    <t>1(Memory001)</t>
    <phoneticPr fontId="1" type="noConversion"/>
  </si>
  <si>
    <t>2(Memory002)</t>
    <phoneticPr fontId="1" type="noConversion"/>
  </si>
  <si>
    <t>3(Memory003)</t>
    <phoneticPr fontId="1" type="noConversion"/>
  </si>
  <si>
    <t>4(Memory004)</t>
    <phoneticPr fontId="1" type="noConversion"/>
  </si>
  <si>
    <t>5(Memory005)</t>
    <phoneticPr fontId="1" type="noConversion"/>
  </si>
  <si>
    <t>6(Memory100)</t>
    <phoneticPr fontId="1" type="noConversion"/>
  </si>
  <si>
    <t>7(Memory101)</t>
    <phoneticPr fontId="1" type="noConversion"/>
  </si>
  <si>
    <t>8(Memory102)</t>
    <phoneticPr fontId="1" type="noConversion"/>
  </si>
  <si>
    <t>9(Memory103)</t>
    <phoneticPr fontId="1" type="noConversion"/>
  </si>
  <si>
    <t>10(Memory104)</t>
    <phoneticPr fontId="1" type="noConversion"/>
  </si>
  <si>
    <t>11(Memory200)</t>
    <phoneticPr fontId="1" type="noConversion"/>
  </si>
  <si>
    <t>12(Memory201)</t>
    <phoneticPr fontId="1" type="noConversion"/>
  </si>
  <si>
    <t>13(Memory202)</t>
    <phoneticPr fontId="1" type="noConversion"/>
  </si>
  <si>
    <t>14(Memory203)</t>
    <phoneticPr fontId="1" type="noConversion"/>
  </si>
  <si>
    <t>15(Memory204)</t>
    <phoneticPr fontId="1" type="noConversion"/>
  </si>
  <si>
    <t>0(UserId0)</t>
    <phoneticPr fontId="1" type="noConversion"/>
  </si>
  <si>
    <t>1(UserId1)</t>
    <phoneticPr fontId="1" type="noConversion"/>
  </si>
  <si>
    <t>2(IPE ACL0)</t>
    <phoneticPr fontId="1" type="noConversion"/>
  </si>
  <si>
    <t>3(IPE ACL1)</t>
    <phoneticPr fontId="1" type="noConversion"/>
  </si>
  <si>
    <t>4(IPE ACL2)</t>
    <phoneticPr fontId="1" type="noConversion"/>
  </si>
  <si>
    <t>5(IPE ACL3)</t>
    <phoneticPr fontId="1" type="noConversion"/>
  </si>
  <si>
    <t>6(IPE ACL4)</t>
    <phoneticPr fontId="1" type="noConversion"/>
  </si>
  <si>
    <t>7(IPE ACL5)</t>
    <phoneticPr fontId="1" type="noConversion"/>
  </si>
  <si>
    <t>8(IPE ACL6)</t>
    <phoneticPr fontId="1" type="noConversion"/>
  </si>
  <si>
    <t>9(IPE ACL7)</t>
    <phoneticPr fontId="1" type="noConversion"/>
  </si>
  <si>
    <t>10(EPE ACL0)</t>
    <phoneticPr fontId="1" type="noConversion"/>
  </si>
  <si>
    <t>11(EPE ACL1)</t>
    <phoneticPr fontId="1" type="noConversion"/>
  </si>
  <si>
    <t>DsAclQosForwardIpv6Key640Ing0_t;</t>
  </si>
  <si>
    <t>DsAclQosForwardL3Key640Ing0_t;</t>
  </si>
  <si>
    <t>DsAclQosIpfixEnableKey80Ing0_t;</t>
  </si>
  <si>
    <t>DsAclQosIpv6Key320Ing0_t;</t>
  </si>
  <si>
    <t>DsAclQosIpv6Key640Ing0_t;</t>
  </si>
  <si>
    <t>DsAclQosL3Key160Ing0_t;</t>
  </si>
  <si>
    <t>DsAclQosL3Key320Ing0_t;</t>
  </si>
  <si>
    <t>DsAclQosMacIpv6Key640Ing0_t;</t>
  </si>
  <si>
    <t>DsAclQosMacKey160Ing0_t;</t>
  </si>
  <si>
    <t>DsAclQosMacL3Key320Ing0_t;</t>
  </si>
  <si>
    <t>DsAclQosMacL3Key640Ing0_t;</t>
  </si>
  <si>
    <t>DsAclQosSgtKey80Ing0_t;</t>
  </si>
  <si>
    <t>ipfix</t>
    <phoneticPr fontId="1" type="noConversion"/>
  </si>
  <si>
    <t>sgt-based</t>
    <phoneticPr fontId="1" type="noConversion"/>
  </si>
  <si>
    <t>DsAclQosL3Key160Ing0_t;</t>
    <phoneticPr fontId="1" type="noConversion"/>
  </si>
  <si>
    <t>DsAclQosL3Key320Ing0_t;</t>
    <phoneticPr fontId="1" type="noConversion"/>
  </si>
  <si>
    <t>DsAclQosForwardL3Key640Ing0_t;</t>
    <phoneticPr fontId="1" type="noConversion"/>
  </si>
  <si>
    <t>ipfix-based</t>
    <phoneticPr fontId="1" type="noConversion"/>
  </si>
  <si>
    <t>DsAclQosIpfixEnableKey80Ing0_t;</t>
    <phoneticPr fontId="1" type="noConversion"/>
  </si>
  <si>
    <t>这页没处理</t>
    <phoneticPr fontId="1" type="noConversion"/>
  </si>
  <si>
    <t>DsUserIdCapwapMacDaForwardHashKey_t,</t>
  </si>
  <si>
    <t>DsUserIdCapwapStaStatusHashKey_t,</t>
  </si>
  <si>
    <t>DsUserIdCapwapVlanForwardHashKey_t,</t>
  </si>
  <si>
    <t>DsUserIdTunnelIpv4CapwapHashKey_t,</t>
  </si>
  <si>
    <t>DsUserIdTunnelIpv6CapwapHashKey_t,</t>
  </si>
  <si>
    <t>DsUserIdTunnelIpv4UdpHashKey_t</t>
    <phoneticPr fontId="1" type="noConversion"/>
  </si>
  <si>
    <t>capwap</t>
    <phoneticPr fontId="1" type="noConversion"/>
  </si>
  <si>
    <t>DsUserIdCapwapMacDaForwardHashKey_t,</t>
    <phoneticPr fontId="1" type="noConversion"/>
  </si>
  <si>
    <t>DsUserIdCapwapStaStatusHashKey_t,</t>
    <phoneticPr fontId="1" type="noConversion"/>
  </si>
  <si>
    <t>DsUserIdCapwapVlanForwardHashKey_t,</t>
    <phoneticPr fontId="1" type="noConversion"/>
  </si>
  <si>
    <t>DsUserIdTunnelIpv4CapwapHashKey_t,</t>
    <phoneticPr fontId="1" type="noConversion"/>
  </si>
  <si>
    <t>DsUserIdTunnelIpv6CapwapHashKey_t,</t>
    <phoneticPr fontId="1" type="noConversion"/>
  </si>
  <si>
    <t>DsUserIdTunnelIpv6UcNvgreMode1HashKey</t>
    <phoneticPr fontId="1" type="noConversion"/>
  </si>
  <si>
    <t>DsUserIdCvlanCosPortHashKey_t,</t>
  </si>
  <si>
    <t>DsUserIdCvlanPortHashKey_t,</t>
  </si>
  <si>
    <t>DsUserIdDoubleVlanPortHashKey_t,</t>
  </si>
  <si>
    <t>DsUserIdIpv4PortHashKey_t,</t>
  </si>
  <si>
    <t>DsUserIdIpv4SaHashKey_t,</t>
  </si>
  <si>
    <t>DsUserIdIpv6PortHashKey_t,</t>
  </si>
  <si>
    <t>DsUserIdIpv6SaHashKey_t,</t>
  </si>
  <si>
    <t>DsUserIdMacHashKey_t,</t>
  </si>
  <si>
    <t>DsUserIdMacPortHashKey_t,</t>
  </si>
  <si>
    <t>DsUserIdPortHashKey_t,</t>
  </si>
  <si>
    <t>DsFibHost1Ipv4NatDaPortHashKey_t,</t>
  </si>
  <si>
    <t>DsFibHost1Ipv4NatSaPortHashKey_t,</t>
  </si>
  <si>
    <t>DsFibHost1Ipv6McastHashKey_t,</t>
  </si>
  <si>
    <t>DsFibHost1Ipv6NatDaPortHashKey_t,</t>
  </si>
  <si>
    <t>DsFibHost1Ipv6NatSaPortHashKey_t,</t>
  </si>
  <si>
    <t>DsFibHost1FcoeRpfHashKey_t,</t>
  </si>
  <si>
    <t>DsFibHost1TrillMcastVlanHashKey_t,</t>
  </si>
  <si>
    <t>DsFibHost1MacIpv6McastHashKey_t,</t>
  </si>
  <si>
    <t>DsFlowL2HashKey_t,</t>
  </si>
  <si>
    <t>DsFlowL2L3HashKey_t,</t>
  </si>
  <si>
    <t>DsFlowL3Ipv4HashKey_t,</t>
  </si>
  <si>
    <t>DsFlowL3Ipv6HashKey_t,</t>
  </si>
  <si>
    <t>DsFlowL3MplsHashKey_t,</t>
  </si>
  <si>
    <t>DsIpfixL2HashKey_t,</t>
  </si>
  <si>
    <t>DsIpfixL2L3HashKey_t,</t>
  </si>
  <si>
    <t>DsIpfixL3Ipv4HashKey_t,</t>
  </si>
  <si>
    <t>DsIpfixL3Ipv6HashKey_t,</t>
  </si>
  <si>
    <t>DsIpfixL3MplsHashKey_t,</t>
  </si>
  <si>
    <t>DsUserIdTunnelIpv4DaHashKey_t,</t>
  </si>
  <si>
    <t>DsUserIdTunnelIpv4GreKeyHashKey_t,</t>
  </si>
  <si>
    <t>DsUserIdTunnelIpv4HashKey_t,</t>
  </si>
  <si>
    <t>DsUserIdTunnelIpv4RpfHashKey_t,</t>
  </si>
  <si>
    <t>DsUserIdTunnelIpv4McNvgreMode0HashKey_t,</t>
  </si>
  <si>
    <t>DsUserIdTunnelIpv4NvgreMode1HashKey_t,</t>
  </si>
  <si>
    <t>DsUserIdTunnelIpv4McVxlanMode0HashKey_t,</t>
  </si>
  <si>
    <t>DsUserIdTunnelIpv4VxlanMode1HashKey_t,</t>
  </si>
  <si>
    <t>DsUserIdTunnelIpv4UcNvgreMode0HashKey_t,</t>
  </si>
  <si>
    <t>DsUserIdTunnelIpv4UcNvgreMode1HashKey_t,</t>
  </si>
  <si>
    <t>DsUserIdTunnelIpv4UcVxlanMode0HashKey_t,</t>
  </si>
  <si>
    <t>DsUserIdTunnelIpv4UcVxlanMode1HashKey_t,</t>
  </si>
  <si>
    <t>DsUserIdTunnelIpv6McNvgreMode0HashKey_t,</t>
  </si>
  <si>
    <t>DsUserIdTunnelIpv6McNvgreMode1HashKey_t,</t>
  </si>
  <si>
    <t>DsUserIdTunnelIpv6McVxlanMode0HashKey_t,</t>
  </si>
  <si>
    <t>DsUserIdTunnelIpv6McVxlanMode1HashKey_t,</t>
  </si>
  <si>
    <t>DsUserIdTunnelIpv6UcNvgreMode0HashKey_t,</t>
  </si>
  <si>
    <t>DsUserIdTunnelIpv6UcNvgreMode1HashKey_t,</t>
  </si>
  <si>
    <t>DsUserIdTunnelIpv6UcVxlanMode0HashKey_t,</t>
  </si>
  <si>
    <t>DsUserIdTunnelIpv6UcVxlanMode1HashKey_t,</t>
  </si>
  <si>
    <t>DsUserIdTunnelMplsHashKey_t,</t>
  </si>
  <si>
    <t>DsUserIdTunnelPbbHashKey_t,</t>
  </si>
  <si>
    <t>DsUserIdTunnelTrillMcAdjHashKey_t,</t>
  </si>
  <si>
    <t>DsUserIdTunnelTrillMcDecapHashKey_t,</t>
  </si>
  <si>
    <t>DsUserIdTunnelTrillMcRpfHashKey_t,</t>
  </si>
  <si>
    <t>DsUserIdTunnelTrillUcDecapHashKey_t,</t>
  </si>
  <si>
    <t>DsUserIdTunnelTrillUcRpfHashKey_t,</t>
  </si>
  <si>
    <t>DsEgressXcOamPortCrossHashKey_t,</t>
  </si>
  <si>
    <t>DsEgressXcOamPortHashKey_t,</t>
  </si>
  <si>
    <t>DsEgressXcOamPortVlanCrossHashKey_t,</t>
  </si>
  <si>
    <t>DsEgressXcOamCvlanCosPortHashKey_t,</t>
  </si>
  <si>
    <t>DsEgressXcOamCvlanPortHashKey_t,</t>
  </si>
  <si>
    <t>DsEgressXcOamDoubleVlanPortHashKey_t</t>
  </si>
  <si>
    <t>DsEgressXcOamSvlanCosPortHashKey_t,</t>
  </si>
  <si>
    <t>DsEgressXcOamSvlanPortHashKey_t,</t>
  </si>
  <si>
    <t>DsEgressXcOamSvlanPortMacHashKey_t,</t>
  </si>
  <si>
    <t>DsEgressXcOamTunnelPbbHashKey_t,</t>
  </si>
  <si>
    <t>DsEgressXcOamBfdHashKey_t,</t>
  </si>
  <si>
    <t>DsEgressXcOamEthHashKey_t,</t>
  </si>
  <si>
    <t>DsEgressXcOamMplsLabelHashKey_t,</t>
  </si>
  <si>
    <t>DsEgressXcOamMplsSectionHashKey_t,</t>
  </si>
  <si>
    <t>DsEgressXcOamRmepHashKey_t,</t>
  </si>
  <si>
    <t>DsLpmLookupKey_t</t>
  </si>
  <si>
    <t>ipuchost /ipmc</t>
    <phoneticPr fontId="1" type="noConversion"/>
  </si>
  <si>
    <t>ipuchost</t>
    <phoneticPr fontId="1" type="noConversion"/>
  </si>
  <si>
    <t>ipmc</t>
    <phoneticPr fontId="1" type="noConversion"/>
  </si>
  <si>
    <t>l2 ipmc</t>
    <phoneticPr fontId="1" type="noConversion"/>
  </si>
  <si>
    <t>trill</t>
    <phoneticPr fontId="1" type="noConversion"/>
  </si>
  <si>
    <t>fcoe</t>
    <phoneticPr fontId="1" type="noConversion"/>
  </si>
  <si>
    <t>mac</t>
    <phoneticPr fontId="1" type="noConversion"/>
  </si>
  <si>
    <t>nat</t>
    <phoneticPr fontId="1" type="noConversion"/>
  </si>
  <si>
    <t>DsFibHost1MacIpv4McastHashKey_t,</t>
    <phoneticPr fontId="1" type="noConversion"/>
  </si>
  <si>
    <t>flow hash</t>
    <phoneticPr fontId="1" type="noConversion"/>
  </si>
  <si>
    <t>SCL</t>
    <phoneticPr fontId="1" type="noConversion"/>
  </si>
  <si>
    <t>tunnel</t>
    <phoneticPr fontId="1" type="noConversion"/>
  </si>
  <si>
    <t>DsUserIdTunnelIpv4UdpHashKey_t,</t>
    <phoneticPr fontId="1" type="noConversion"/>
  </si>
  <si>
    <t>OAM</t>
    <phoneticPr fontId="1" type="noConversion"/>
  </si>
  <si>
    <t>Egress SCL</t>
    <phoneticPr fontId="1" type="noConversion"/>
  </si>
  <si>
    <t>Egress</t>
    <phoneticPr fontId="1" type="noConversion"/>
  </si>
  <si>
    <t>UDP报文识别</t>
    <phoneticPr fontId="1" type="noConversion"/>
  </si>
  <si>
    <t>DsFibHost0Ipv4HashKey_t,</t>
    <phoneticPr fontId="1" type="noConversion"/>
  </si>
  <si>
    <t>DsFibHost0Ipv6UcastHashKey_t,</t>
    <phoneticPr fontId="1" type="noConversion"/>
  </si>
  <si>
    <t>DsFibHost0Ipv6McastHashKey_t,</t>
    <phoneticPr fontId="1" type="noConversion"/>
  </si>
  <si>
    <t>DsFibHost0MacIpv6McastHashKey_t,</t>
    <phoneticPr fontId="1" type="noConversion"/>
  </si>
  <si>
    <t>DsFibHost0MacHashKey_t,</t>
    <phoneticPr fontId="1" type="noConversion"/>
  </si>
  <si>
    <t>DsFibHost0TrillHashKey_t,</t>
    <phoneticPr fontId="1" type="noConversion"/>
  </si>
  <si>
    <t>DsFibHost0FcoeHashKey_t,</t>
    <phoneticPr fontId="1" type="noConversion"/>
  </si>
  <si>
    <t>DsUserIdSvlanCosPortHashKey_t,</t>
    <phoneticPr fontId="1" type="noConversion"/>
  </si>
  <si>
    <t>DsUserIdSvlanHashKey_t,</t>
    <phoneticPr fontId="1" type="noConversion"/>
  </si>
  <si>
    <t>DsUserIdSvlanMacSaHashKey_t,</t>
    <phoneticPr fontId="1" type="noConversion"/>
  </si>
  <si>
    <t>DsUserIdSvlanPortHashKey_t,</t>
    <phoneticPr fontId="1" type="noConversion"/>
  </si>
  <si>
    <t>DsUserIdSclFlowL2HashKey_t,</t>
    <phoneticPr fontId="1" type="noConversion"/>
  </si>
  <si>
    <t>fibhash0</t>
    <phoneticPr fontId="1" type="noConversion"/>
  </si>
  <si>
    <t>fibhash1</t>
    <phoneticPr fontId="1" type="noConversion"/>
  </si>
  <si>
    <t>ACL</t>
    <phoneticPr fontId="1" type="noConversion"/>
  </si>
  <si>
    <t>DsAclQosIpfixEnableKey80Egr0_t;</t>
  </si>
  <si>
    <t>DsAclQosIpv6Key320Egr0_t;</t>
  </si>
  <si>
    <t>DsAclQosIpv6Key640Egr0_t;</t>
  </si>
  <si>
    <t>DsAclQosL3Key160Egr0_t;</t>
  </si>
  <si>
    <t>DsAclQosL3Key320Egr0_t;</t>
  </si>
  <si>
    <t>DsAclQosMacIpv6Key640Egr0_t;</t>
  </si>
  <si>
    <t>DsAclQosMacKey160Egr0_t;</t>
  </si>
  <si>
    <t>DsAclQosMacL3Key320Egr0_t;</t>
  </si>
  <si>
    <t>DsAclQosMacL3Key640Egr0_t;</t>
  </si>
  <si>
    <t>DsUserId0TcamKey80_t;</t>
  </si>
  <si>
    <t>DsScl0MacKey160_t;</t>
  </si>
  <si>
    <t>DsScl0L3Key160_t;</t>
  </si>
  <si>
    <t>DsScl0Ipv6Key320_t;</t>
  </si>
  <si>
    <t>DsScl0MacL3Key320_t;</t>
  </si>
  <si>
    <t>DsScl0MacIpv6Key640_t;</t>
  </si>
  <si>
    <t>DsUserId0TcamKey160_t;</t>
  </si>
  <si>
    <t>DsUserId0TcamKey320_t;</t>
  </si>
  <si>
    <t>SCL TCAM</t>
    <phoneticPr fontId="1" type="noConversion"/>
  </si>
  <si>
    <t xml:space="preserve">DsLpmTcamIpv4DoubleKey_t;    </t>
  </si>
  <si>
    <t xml:space="preserve">DsLpmTcamIpv6QuadKey_t;      </t>
  </si>
  <si>
    <t xml:space="preserve">DsLpmTcamIpv4NatDoubleKey_t; </t>
  </si>
  <si>
    <t xml:space="preserve">DsLpmTcamIpv6DoubleKey1_t;   </t>
  </si>
  <si>
    <t>IP LPM</t>
    <phoneticPr fontId="1" type="noConversion"/>
  </si>
  <si>
    <t>v4 PBR</t>
    <phoneticPr fontId="1" type="noConversion"/>
  </si>
  <si>
    <t>v6 NAT</t>
    <phoneticPr fontId="1" type="noConversion"/>
  </si>
  <si>
    <t>v4 NAT</t>
    <phoneticPr fontId="1" type="noConversion"/>
  </si>
  <si>
    <t>v6 PBR/NAT v6 pbr</t>
    <phoneticPr fontId="1" type="noConversion"/>
  </si>
  <si>
    <t>Pipeline</t>
    <phoneticPr fontId="1" type="noConversion"/>
  </si>
  <si>
    <t>Ingress ACL 0-7</t>
    <phoneticPr fontId="1" type="noConversion"/>
  </si>
  <si>
    <t>Egress ACL 0-2</t>
    <phoneticPr fontId="1" type="noConversion"/>
  </si>
  <si>
    <t>SCL 0-1</t>
    <phoneticPr fontId="1" type="noConversion"/>
  </si>
  <si>
    <t xml:space="preserve">DsLpmTcamIpv4HalfKey_t,    </t>
  </si>
  <si>
    <t xml:space="preserve">DsLpmTcamIpv6DoubleKey0_t, </t>
  </si>
  <si>
    <t xml:space="preserve">DsLpmTcamIpv6SingleKey_t, </t>
  </si>
  <si>
    <t xml:space="preserve">DsLpmTcamIpv4SaHalfKey_t,    </t>
  </si>
  <si>
    <t xml:space="preserve">DsLpmTcamIpv6SaDoubleKey0_t, </t>
  </si>
  <si>
    <t xml:space="preserve">DsLpmTcamIpv6SaSingleKey_t, </t>
  </si>
  <si>
    <t xml:space="preserve">DsLpmTcamIpv4DaPubHalfKey_t,   </t>
  </si>
  <si>
    <t>DsLpmTcamIpv6DaPubDoubleKey0_t,</t>
  </si>
  <si>
    <t xml:space="preserve">DsLpmTcamIpv6DaPubSingleKey_t, </t>
  </si>
  <si>
    <t xml:space="preserve">DsLpmTcamIpv4SaPubHalfKey_t,   </t>
  </si>
  <si>
    <t>DsLpmTcamIpv6SaPubDoubleKey0_t,</t>
  </si>
  <si>
    <t xml:space="preserve">DsLpmTcamIpv6SaPubSingleKey_t, </t>
  </si>
  <si>
    <t>sa 查找KEY</t>
    <phoneticPr fontId="1" type="noConversion"/>
  </si>
  <si>
    <t>da 查找KEY</t>
    <phoneticPr fontId="1" type="noConversion"/>
  </si>
  <si>
    <t>sa pub 查找key</t>
    <phoneticPr fontId="1" type="noConversion"/>
  </si>
  <si>
    <t>da pub 查找KEY</t>
    <phoneticPr fontId="1" type="noConversion"/>
  </si>
  <si>
    <t>open flow</t>
    <phoneticPr fontId="1" type="noConversion"/>
  </si>
  <si>
    <t>DsFibHost1Ipv4McastHashKey_t,</t>
    <phoneticPr fontId="1" type="noConversion"/>
  </si>
  <si>
    <t>3w</t>
    <phoneticPr fontId="1" type="noConversion"/>
  </si>
  <si>
    <t>3w+3w(sub+phy if)
+6w(vlanif)</t>
    <phoneticPr fontId="1" type="noConversion"/>
  </si>
  <si>
    <t>3w+3w*member</t>
    <phoneticPr fontId="1" type="noConversion"/>
  </si>
  <si>
    <t>Vlan Tranlation （Egress)</t>
    <phoneticPr fontId="1" type="noConversion"/>
  </si>
  <si>
    <t>公式里面 - 8k是为了给解决冲突用</t>
    <phoneticPr fontId="1" type="noConversion"/>
  </si>
  <si>
    <t>160的key因此,减半</t>
    <phoneticPr fontId="1" type="noConversion"/>
  </si>
  <si>
    <t xml:space="preserve">DRV_FTM_SRAM_TBL_FIB0_HASH_KEY  </t>
    <phoneticPr fontId="1" type="noConversion"/>
  </si>
  <si>
    <t xml:space="preserve">DRV_FTM_SRAM_TBL_FIB1_HASH_KEY  </t>
    <phoneticPr fontId="1" type="noConversion"/>
  </si>
  <si>
    <t xml:space="preserve">DRV_FTM_SRAM_TBL_FLOW_HASH_KEY  </t>
    <phoneticPr fontId="1" type="noConversion"/>
  </si>
  <si>
    <t xml:space="preserve">DRV_FTM_SRAM_TBL_IPFIX_HASH_KEY </t>
    <phoneticPr fontId="1" type="noConversion"/>
  </si>
  <si>
    <t>DRV_FTM_SRAM_TBL_USERID_HASH_KEY</t>
    <phoneticPr fontId="1" type="noConversion"/>
  </si>
  <si>
    <t xml:space="preserve">DRV_FTM_SRAM_TBL_XCOAM_HASH_KEY </t>
    <phoneticPr fontId="1" type="noConversion"/>
  </si>
  <si>
    <t xml:space="preserve">DRV_FTM_SRAM_TBL_LPM_LKP_KEY    </t>
    <phoneticPr fontId="1" type="noConversion"/>
  </si>
  <si>
    <t xml:space="preserve">DRV_FTM_SRAM_TBL_DSMAC_AD       </t>
    <phoneticPr fontId="1" type="noConversion"/>
  </si>
  <si>
    <t xml:space="preserve">DRV_FTM_SRAM_TBL_DSIP_AD        </t>
    <phoneticPr fontId="1" type="noConversion"/>
  </si>
  <si>
    <t xml:space="preserve">DRV_FTM_SRAM_TBL_FLOW_AD        </t>
    <phoneticPr fontId="1" type="noConversion"/>
  </si>
  <si>
    <t xml:space="preserve">DRV_FTM_SRAM_TBL_IPFIX_AD       </t>
    <phoneticPr fontId="1" type="noConversion"/>
  </si>
  <si>
    <t xml:space="preserve">DRV_FTM_SRAM_TBL_USERID_AD      </t>
    <phoneticPr fontId="1" type="noConversion"/>
  </si>
  <si>
    <t xml:space="preserve">DRV_FTM_SRAM_TBL_NEXTHOP        </t>
    <phoneticPr fontId="1" type="noConversion"/>
  </si>
  <si>
    <t xml:space="preserve">DRV_FTM_SRAM_TBL_FWD            </t>
    <phoneticPr fontId="1" type="noConversion"/>
  </si>
  <si>
    <t xml:space="preserve">DRV_FTM_SRAM_TBL_MET            </t>
    <phoneticPr fontId="1" type="noConversion"/>
  </si>
  <si>
    <t xml:space="preserve">DRV_FTM_SRAM_TBL_EDIT           </t>
    <phoneticPr fontId="1" type="noConversion"/>
  </si>
  <si>
    <t xml:space="preserve">DRV_FTM_SRAM_TBL_OAM_APS        </t>
    <phoneticPr fontId="1" type="noConversion"/>
  </si>
  <si>
    <t xml:space="preserve">DRV_FTM_SRAM_TBL_OAM_LM         </t>
    <phoneticPr fontId="1" type="noConversion"/>
  </si>
  <si>
    <t xml:space="preserve">DRV_FTM_SRAM_TBL_OAM_MEP        </t>
    <phoneticPr fontId="1" type="noConversion"/>
  </si>
  <si>
    <t xml:space="preserve">DRV_FTM_SRAM_TBL_OAM_MA         </t>
    <phoneticPr fontId="1" type="noConversion"/>
  </si>
  <si>
    <t xml:space="preserve">DRV_FTM_SRAM_TBL_OAM_MA_NAME    </t>
    <phoneticPr fontId="1" type="noConversion"/>
  </si>
  <si>
    <t>couple_model</t>
    <phoneticPr fontId="1" type="noConversion"/>
  </si>
  <si>
    <t>GLB MET 3W</t>
    <phoneticPr fontId="2" type="noConversion"/>
  </si>
  <si>
    <t>SCL_HASH_KEY</t>
    <phoneticPr fontId="1" type="noConversion"/>
  </si>
  <si>
    <t>XCOAM_HASH_KEY</t>
    <phoneticPr fontId="1" type="noConversion"/>
  </si>
  <si>
    <t>OAM_MEP</t>
    <phoneticPr fontId="1" type="noConversion"/>
  </si>
  <si>
    <t>DYNAMIC</t>
    <phoneticPr fontId="1" type="noConversion"/>
  </si>
  <si>
    <t>NEXTHOP</t>
    <phoneticPr fontId="1" type="noConversion"/>
  </si>
  <si>
    <t>FWD</t>
    <phoneticPr fontId="1" type="noConversion"/>
  </si>
  <si>
    <t>MET</t>
    <phoneticPr fontId="1" type="noConversion"/>
  </si>
  <si>
    <t>SCL0</t>
    <phoneticPr fontId="1" type="noConversion"/>
  </si>
  <si>
    <t>SCL1</t>
    <phoneticPr fontId="1" type="noConversion"/>
  </si>
  <si>
    <t>ACL0_IPE</t>
    <phoneticPr fontId="1" type="noConversion"/>
  </si>
  <si>
    <t>ACL1_IPE</t>
    <phoneticPr fontId="1" type="noConversion"/>
  </si>
  <si>
    <t>ACL2_IPE</t>
    <phoneticPr fontId="1" type="noConversion"/>
  </si>
  <si>
    <t>ACL3_IPE</t>
    <phoneticPr fontId="1" type="noConversion"/>
  </si>
  <si>
    <t>ACL4_IPE</t>
    <phoneticPr fontId="1" type="noConversion"/>
  </si>
  <si>
    <t>ACL5_IPE</t>
    <phoneticPr fontId="1" type="noConversion"/>
  </si>
  <si>
    <t>ACL6_IPE</t>
    <phoneticPr fontId="1" type="noConversion"/>
  </si>
  <si>
    <t>ACL7_IPE</t>
    <phoneticPr fontId="1" type="noConversion"/>
  </si>
  <si>
    <t>ACL0_EPE</t>
    <phoneticPr fontId="1" type="noConversion"/>
  </si>
  <si>
    <t>ACL1_EPE</t>
    <phoneticPr fontId="1" type="noConversion"/>
  </si>
  <si>
    <t>ACL2_EPE</t>
    <phoneticPr fontId="1" type="noConversion"/>
  </si>
  <si>
    <t>FlowTCAM</t>
    <phoneticPr fontId="1" type="noConversion"/>
  </si>
  <si>
    <t>Spec</t>
    <phoneticPr fontId="1" type="noConversion"/>
  </si>
  <si>
    <t>Global</t>
    <phoneticPr fontId="1" type="noConversion"/>
  </si>
  <si>
    <t>GLB_MULT_GRP_NUM</t>
  </si>
  <si>
    <t>VSI_NUM</t>
  </si>
  <si>
    <t>ECMP_NUM</t>
  </si>
  <si>
    <t xml:space="preserve"> </t>
    <phoneticPr fontId="1" type="noConversion"/>
  </si>
  <si>
    <t>COUPLE_MODE</t>
    <phoneticPr fontId="1" type="noConversion"/>
  </si>
  <si>
    <t>Ipfix</t>
    <phoneticPr fontId="1" type="noConversion"/>
  </si>
  <si>
    <t>no</t>
    <phoneticPr fontId="1" type="noConversion"/>
  </si>
  <si>
    <t>Id</t>
    <phoneticPr fontId="1" type="noConversion"/>
  </si>
  <si>
    <t>Table Name</t>
    <phoneticPr fontId="1" type="noConversion"/>
  </si>
  <si>
    <t>Couple Mode</t>
    <phoneticPr fontId="1" type="noConversion"/>
  </si>
  <si>
    <t>no</t>
    <phoneticPr fontId="1" type="noConversion"/>
  </si>
  <si>
    <t>IpTcam</t>
    <phoneticPr fontId="1" type="noConversion"/>
  </si>
  <si>
    <t>Ip Route  Mode</t>
    <phoneticPr fontId="1" type="noConversion"/>
  </si>
  <si>
    <t>IPV4_NAT_KEY</t>
    <phoneticPr fontId="1" type="noConversion"/>
  </si>
  <si>
    <t>NatTcam</t>
    <phoneticPr fontId="1" type="noConversion"/>
  </si>
  <si>
    <t>yes</t>
    <phoneticPr fontId="1" type="noConversion"/>
  </si>
  <si>
    <t>IP_ROUTE_MODE</t>
    <phoneticPr fontId="1" type="noConversion"/>
  </si>
  <si>
    <t>IPV4_UCAST_ROUTE_KEY</t>
    <phoneticPr fontId="1" type="noConversion"/>
  </si>
  <si>
    <t>IPV6_UCAST_ROUTE_KEY</t>
    <phoneticPr fontId="1" type="noConversion"/>
  </si>
  <si>
    <t>IPV6_UCAST_HALF_KEY</t>
    <phoneticPr fontId="1" type="noConversion"/>
  </si>
  <si>
    <t>NAPT</t>
    <phoneticPr fontId="1" type="noConversion"/>
  </si>
  <si>
    <t>yes</t>
    <phoneticPr fontId="1" type="noConversion"/>
  </si>
  <si>
    <t>no</t>
    <phoneticPr fontId="1" type="noConversion"/>
  </si>
  <si>
    <t>GLB_NH_TBL_SIZE</t>
    <phoneticPr fontId="1" type="noConversion"/>
  </si>
  <si>
    <t>16(Memory205)</t>
    <phoneticPr fontId="1" type="noConversion"/>
  </si>
  <si>
    <t>17(Memory300)</t>
    <phoneticPr fontId="1" type="noConversion"/>
  </si>
  <si>
    <t>18(Memory301)</t>
    <phoneticPr fontId="1" type="noConversion"/>
  </si>
  <si>
    <t>19(Memory302)</t>
    <phoneticPr fontId="1" type="noConversion"/>
  </si>
  <si>
    <t>20(Memory303)</t>
    <phoneticPr fontId="1" type="noConversion"/>
  </si>
  <si>
    <t>21(Memory304)</t>
    <phoneticPr fontId="1" type="noConversion"/>
  </si>
  <si>
    <t>22(Memory305)</t>
    <phoneticPr fontId="1" type="noConversion"/>
  </si>
  <si>
    <t>23(ShareMemory)</t>
    <phoneticPr fontId="1" type="noConversion"/>
  </si>
  <si>
    <t>24(ShareMemory)</t>
    <phoneticPr fontId="1" type="noConversion"/>
  </si>
  <si>
    <t>25(ShareMemory)</t>
    <phoneticPr fontId="1" type="noConversion"/>
  </si>
  <si>
    <t>26(ShareMemory)</t>
    <phoneticPr fontId="1" type="noConversion"/>
  </si>
  <si>
    <t>FIB1_HASH_KEY</t>
    <phoneticPr fontId="1" type="noConversion"/>
  </si>
  <si>
    <t>SCL_HASH_AD</t>
    <phoneticPr fontId="1" type="noConversion"/>
  </si>
  <si>
    <t>EDIT</t>
    <phoneticPr fontId="1" type="noConversion"/>
  </si>
  <si>
    <t>如果Memory couple，填成2, 
否则填成1</t>
    <phoneticPr fontId="1" type="noConversion"/>
  </si>
  <si>
    <t>(UserId0)</t>
    <phoneticPr fontId="1" type="noConversion"/>
  </si>
  <si>
    <t>(UserId1)</t>
    <phoneticPr fontId="1" type="noConversion"/>
  </si>
  <si>
    <t>(IPE ACL0)</t>
    <phoneticPr fontId="1" type="noConversion"/>
  </si>
  <si>
    <t>(IPE ACL1)</t>
    <phoneticPr fontId="1" type="noConversion"/>
  </si>
  <si>
    <t>(IPE ACL2)</t>
    <phoneticPr fontId="1" type="noConversion"/>
  </si>
  <si>
    <t>(IPE ACL3)</t>
    <phoneticPr fontId="1" type="noConversion"/>
  </si>
  <si>
    <t>(IPE ACL4)</t>
    <phoneticPr fontId="1" type="noConversion"/>
  </si>
  <si>
    <t>(IPE ACL5)</t>
    <phoneticPr fontId="1" type="noConversion"/>
  </si>
  <si>
    <t>(IPE ACL6)</t>
    <phoneticPr fontId="1" type="noConversion"/>
  </si>
  <si>
    <t>IPE ACL7)</t>
    <phoneticPr fontId="1" type="noConversion"/>
  </si>
  <si>
    <t>(EPE ACL0)</t>
    <phoneticPr fontId="1" type="noConversion"/>
  </si>
  <si>
    <t>(EPE ACL1)</t>
    <phoneticPr fontId="1" type="noConversion"/>
  </si>
  <si>
    <t>(EPE ACL2)</t>
    <phoneticPr fontId="1" type="noConversion"/>
  </si>
  <si>
    <t>(FlowTcam0)</t>
    <phoneticPr fontId="1" type="noConversion"/>
  </si>
  <si>
    <t>(FlowTcam1)</t>
    <phoneticPr fontId="1" type="noConversion"/>
  </si>
  <si>
    <t>(FlowTcam2)</t>
    <phoneticPr fontId="1" type="noConversion"/>
  </si>
  <si>
    <t>(FlowTcam3)</t>
    <phoneticPr fontId="1" type="noConversion"/>
  </si>
  <si>
    <t>SCL2</t>
    <phoneticPr fontId="1" type="noConversion"/>
  </si>
  <si>
    <t>SCL3</t>
    <phoneticPr fontId="1" type="noConversion"/>
  </si>
  <si>
    <t>(UserId2)</t>
    <phoneticPr fontId="1" type="noConversion"/>
  </si>
  <si>
    <t>(UserId3)</t>
    <phoneticPr fontId="1" type="noConversion"/>
  </si>
  <si>
    <t>no</t>
    <phoneticPr fontId="1" type="noConversion"/>
  </si>
  <si>
    <t>SCL1_HASH_KEY</t>
    <phoneticPr fontId="1" type="noConversion"/>
  </si>
  <si>
    <t>FIB_HASH_KEY</t>
    <phoneticPr fontId="1" type="noConversion"/>
  </si>
  <si>
    <t>SCL1_HASH_AD</t>
    <phoneticPr fontId="1" type="noConversion"/>
  </si>
  <si>
    <t>LPM_PIPE1</t>
    <phoneticPr fontId="1" type="noConversion"/>
  </si>
  <si>
    <t>LPM_PIPE0</t>
    <phoneticPr fontId="1" type="noConversion"/>
  </si>
  <si>
    <t>SCL_MODE</t>
    <phoneticPr fontId="1" type="noConversion"/>
  </si>
  <si>
    <t>no</t>
    <phoneticPr fontId="1" type="noConversion"/>
  </si>
  <si>
    <t>29(ShareMemory6)</t>
    <phoneticPr fontId="1" type="noConversion"/>
  </si>
  <si>
    <t>28(ShareMemory5)</t>
    <phoneticPr fontId="1" type="noConversion"/>
  </si>
  <si>
    <t>27(ShareMemory4)</t>
    <phoneticPr fontId="1" type="noConversion"/>
  </si>
</sst>
</file>

<file path=xl/styles.xml><?xml version="1.0" encoding="utf-8"?>
<styleSheet xmlns="http://schemas.openxmlformats.org/spreadsheetml/2006/main">
  <fonts count="19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rgb="FFFF0000"/>
      <name val="宋体"/>
      <family val="3"/>
      <charset val="134"/>
    </font>
    <font>
      <b/>
      <sz val="9"/>
      <name val="宋体"/>
      <family val="3"/>
      <charset val="134"/>
    </font>
    <font>
      <b/>
      <sz val="9"/>
      <color rgb="FFFF0000"/>
      <name val="宋体"/>
      <family val="3"/>
      <charset val="134"/>
    </font>
    <font>
      <sz val="11"/>
      <color rgb="FFFF0000"/>
      <name val="宋体"/>
      <family val="3"/>
      <charset val="134"/>
      <scheme val="minor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b/>
      <sz val="9"/>
      <color indexed="81"/>
      <name val="Tahoma"/>
      <family val="2"/>
    </font>
    <font>
      <sz val="11"/>
      <color rgb="FFFF0000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rgb="FFFF0000"/>
      <name val="Arial Black"/>
      <family val="2"/>
    </font>
    <font>
      <sz val="11"/>
      <name val="宋体"/>
      <family val="3"/>
      <charset val="134"/>
      <scheme val="minor"/>
    </font>
  </fonts>
  <fills count="4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1" tint="0.34998626667073579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thin">
        <color auto="1"/>
      </right>
      <top/>
      <bottom/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 style="thick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ck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399">
    <xf numFmtId="0" fontId="0" fillId="0" borderId="0" xfId="0">
      <alignment vertical="center"/>
    </xf>
    <xf numFmtId="0" fontId="4" fillId="0" borderId="6" xfId="0" applyFont="1" applyBorder="1" applyAlignment="1">
      <alignment horizontal="center" vertical="center"/>
    </xf>
    <xf numFmtId="0" fontId="5" fillId="0" borderId="0" xfId="0" applyFont="1" applyAlignment="1"/>
    <xf numFmtId="0" fontId="0" fillId="0" borderId="0" xfId="0" applyAlignment="1"/>
    <xf numFmtId="0" fontId="2" fillId="6" borderId="6" xfId="0" applyFont="1" applyFill="1" applyBorder="1" applyAlignment="1"/>
    <xf numFmtId="0" fontId="2" fillId="0" borderId="6" xfId="0" applyFont="1" applyFill="1" applyBorder="1" applyAlignment="1"/>
    <xf numFmtId="0" fontId="2" fillId="7" borderId="6" xfId="0" applyFont="1" applyFill="1" applyBorder="1" applyAlignment="1"/>
    <xf numFmtId="0" fontId="2" fillId="8" borderId="3" xfId="1" applyFont="1" applyFill="1" applyBorder="1">
      <alignment vertical="center"/>
    </xf>
    <xf numFmtId="0" fontId="2" fillId="7" borderId="4" xfId="0" applyFont="1" applyFill="1" applyBorder="1" applyAlignment="1"/>
    <xf numFmtId="0" fontId="2" fillId="7" borderId="5" xfId="0" applyFont="1" applyFill="1" applyBorder="1" applyAlignment="1">
      <alignment wrapText="1"/>
    </xf>
    <xf numFmtId="0" fontId="2" fillId="9" borderId="9" xfId="1" applyFont="1" applyFill="1" applyBorder="1">
      <alignment vertical="center"/>
    </xf>
    <xf numFmtId="0" fontId="2" fillId="8" borderId="9" xfId="1" applyFont="1" applyFill="1" applyBorder="1">
      <alignment vertical="center"/>
    </xf>
    <xf numFmtId="0" fontId="2" fillId="9" borderId="3" xfId="1" applyFont="1" applyFill="1" applyBorder="1">
      <alignment vertical="center"/>
    </xf>
    <xf numFmtId="0" fontId="7" fillId="2" borderId="12" xfId="1" applyFont="1" applyFill="1" applyBorder="1">
      <alignment vertical="center"/>
    </xf>
    <xf numFmtId="0" fontId="2" fillId="2" borderId="13" xfId="0" applyFont="1" applyFill="1" applyBorder="1" applyAlignment="1"/>
    <xf numFmtId="0" fontId="5" fillId="0" borderId="6" xfId="1" applyFont="1" applyFill="1" applyBorder="1">
      <alignment vertical="center"/>
    </xf>
    <xf numFmtId="0" fontId="2" fillId="0" borderId="0" xfId="0" applyFont="1" applyFill="1" applyBorder="1" applyAlignment="1"/>
    <xf numFmtId="0" fontId="2" fillId="10" borderId="6" xfId="0" applyFont="1" applyFill="1" applyBorder="1" applyAlignment="1"/>
    <xf numFmtId="0" fontId="5" fillId="0" borderId="0" xfId="0" applyFont="1" applyFill="1" applyAlignment="1"/>
    <xf numFmtId="0" fontId="2" fillId="10" borderId="1" xfId="0" applyFont="1" applyFill="1" applyBorder="1" applyAlignment="1"/>
    <xf numFmtId="0" fontId="2" fillId="10" borderId="2" xfId="0" applyFont="1" applyFill="1" applyBorder="1" applyAlignment="1"/>
    <xf numFmtId="0" fontId="2" fillId="6" borderId="9" xfId="1" applyFont="1" applyFill="1" applyBorder="1">
      <alignment vertical="center"/>
    </xf>
    <xf numFmtId="0" fontId="2" fillId="0" borderId="0" xfId="1" applyFont="1" applyFill="1" applyBorder="1">
      <alignment vertical="center"/>
    </xf>
    <xf numFmtId="0" fontId="2" fillId="11" borderId="13" xfId="0" applyFont="1" applyFill="1" applyBorder="1" applyAlignment="1"/>
    <xf numFmtId="0" fontId="2" fillId="11" borderId="9" xfId="1" applyFont="1" applyFill="1" applyBorder="1">
      <alignment vertical="center"/>
    </xf>
    <xf numFmtId="0" fontId="0" fillId="0" borderId="0" xfId="0" applyAlignment="1" applyProtection="1">
      <protection locked="0"/>
    </xf>
    <xf numFmtId="0" fontId="2" fillId="0" borderId="0" xfId="0" applyFont="1" applyFill="1" applyBorder="1" applyAlignment="1" applyProtection="1">
      <protection locked="0"/>
    </xf>
    <xf numFmtId="0" fontId="2" fillId="10" borderId="14" xfId="0" applyFont="1" applyFill="1" applyBorder="1" applyAlignment="1" applyProtection="1">
      <protection locked="0"/>
    </xf>
    <xf numFmtId="0" fontId="2" fillId="6" borderId="9" xfId="1" applyFont="1" applyFill="1" applyBorder="1" applyProtection="1">
      <alignment vertical="center"/>
      <protection locked="0"/>
    </xf>
    <xf numFmtId="0" fontId="9" fillId="0" borderId="0" xfId="0" applyFont="1">
      <alignment vertical="center"/>
    </xf>
    <xf numFmtId="0" fontId="2" fillId="8" borderId="18" xfId="1" applyFont="1" applyFill="1" applyBorder="1">
      <alignment vertical="center"/>
    </xf>
    <xf numFmtId="0" fontId="2" fillId="7" borderId="15" xfId="0" applyFont="1" applyFill="1" applyBorder="1" applyAlignment="1"/>
    <xf numFmtId="0" fontId="6" fillId="12" borderId="9" xfId="1" applyFont="1" applyFill="1" applyBorder="1">
      <alignment vertical="center"/>
    </xf>
    <xf numFmtId="0" fontId="2" fillId="18" borderId="3" xfId="1" applyFont="1" applyFill="1" applyBorder="1" applyAlignment="1">
      <alignment vertical="center" wrapText="1"/>
    </xf>
    <xf numFmtId="0" fontId="2" fillId="18" borderId="18" xfId="1" applyFont="1" applyFill="1" applyBorder="1">
      <alignment vertical="center"/>
    </xf>
    <xf numFmtId="0" fontId="0" fillId="19" borderId="0" xfId="0" applyFill="1">
      <alignment vertical="center"/>
    </xf>
    <xf numFmtId="0" fontId="2" fillId="19" borderId="9" xfId="1" applyFont="1" applyFill="1" applyBorder="1">
      <alignment vertical="center"/>
    </xf>
    <xf numFmtId="0" fontId="2" fillId="17" borderId="3" xfId="1" applyFont="1" applyFill="1" applyBorder="1">
      <alignment vertical="center"/>
    </xf>
    <xf numFmtId="0" fontId="0" fillId="0" borderId="0" xfId="0" applyAlignment="1">
      <alignment horizontal="center" vertical="center"/>
    </xf>
    <xf numFmtId="0" fontId="0" fillId="20" borderId="6" xfId="0" applyFill="1" applyBorder="1" applyAlignment="1">
      <alignment horizontal="center" vertical="center"/>
    </xf>
    <xf numFmtId="0" fontId="0" fillId="20" borderId="6" xfId="0" applyFill="1" applyBorder="1">
      <alignment vertical="center"/>
    </xf>
    <xf numFmtId="0" fontId="0" fillId="21" borderId="6" xfId="0" applyFill="1" applyBorder="1">
      <alignment vertical="center"/>
    </xf>
    <xf numFmtId="0" fontId="0" fillId="22" borderId="6" xfId="0" applyFill="1" applyBorder="1" applyAlignment="1">
      <alignment horizontal="center" vertical="center"/>
    </xf>
    <xf numFmtId="0" fontId="0" fillId="22" borderId="6" xfId="0" applyFill="1" applyBorder="1">
      <alignment vertical="center"/>
    </xf>
    <xf numFmtId="0" fontId="0" fillId="16" borderId="6" xfId="0" applyFill="1" applyBorder="1" applyAlignment="1">
      <alignment horizontal="center" vertical="center"/>
    </xf>
    <xf numFmtId="0" fontId="0" fillId="19" borderId="6" xfId="0" applyFill="1" applyBorder="1" applyAlignment="1">
      <alignment horizontal="center" vertical="center"/>
    </xf>
    <xf numFmtId="0" fontId="0" fillId="19" borderId="6" xfId="0" applyFill="1" applyBorder="1">
      <alignment vertical="center"/>
    </xf>
    <xf numFmtId="0" fontId="13" fillId="20" borderId="21" xfId="0" applyFont="1" applyFill="1" applyBorder="1">
      <alignment vertical="center"/>
    </xf>
    <xf numFmtId="0" fontId="13" fillId="20" borderId="22" xfId="0" applyFont="1" applyFill="1" applyBorder="1">
      <alignment vertical="center"/>
    </xf>
    <xf numFmtId="0" fontId="0" fillId="20" borderId="25" xfId="0" applyFill="1" applyBorder="1">
      <alignment vertical="center"/>
    </xf>
    <xf numFmtId="0" fontId="13" fillId="22" borderId="21" xfId="0" applyFont="1" applyFill="1" applyBorder="1">
      <alignment vertical="center"/>
    </xf>
    <xf numFmtId="0" fontId="13" fillId="22" borderId="22" xfId="0" applyFont="1" applyFill="1" applyBorder="1">
      <alignment vertical="center"/>
    </xf>
    <xf numFmtId="0" fontId="0" fillId="22" borderId="25" xfId="0" applyFill="1" applyBorder="1">
      <alignment vertical="center"/>
    </xf>
    <xf numFmtId="0" fontId="0" fillId="22" borderId="25" xfId="0" applyFill="1" applyBorder="1" applyAlignment="1">
      <alignment horizontal="center" vertical="center"/>
    </xf>
    <xf numFmtId="0" fontId="0" fillId="20" borderId="25" xfId="0" applyFill="1" applyBorder="1" applyAlignment="1">
      <alignment horizontal="center" vertical="center"/>
    </xf>
    <xf numFmtId="0" fontId="13" fillId="19" borderId="21" xfId="0" applyFont="1" applyFill="1" applyBorder="1">
      <alignment vertical="center"/>
    </xf>
    <xf numFmtId="0" fontId="13" fillId="19" borderId="22" xfId="0" applyFont="1" applyFill="1" applyBorder="1">
      <alignment vertical="center"/>
    </xf>
    <xf numFmtId="0" fontId="0" fillId="19" borderId="25" xfId="0" applyFill="1" applyBorder="1" applyAlignment="1">
      <alignment horizontal="center" vertical="center"/>
    </xf>
    <xf numFmtId="0" fontId="0" fillId="19" borderId="25" xfId="0" applyFill="1" applyBorder="1">
      <alignment vertical="center"/>
    </xf>
    <xf numFmtId="0" fontId="0" fillId="19" borderId="4" xfId="0" applyFill="1" applyBorder="1">
      <alignment vertical="center"/>
    </xf>
    <xf numFmtId="0" fontId="0" fillId="19" borderId="6" xfId="0" applyFill="1" applyBorder="1" applyAlignment="1">
      <alignment horizontal="left" vertical="center"/>
    </xf>
    <xf numFmtId="0" fontId="0" fillId="19" borderId="4" xfId="0" applyFill="1" applyBorder="1" applyAlignment="1">
      <alignment horizontal="center" vertical="center"/>
    </xf>
    <xf numFmtId="0" fontId="0" fillId="22" borderId="4" xfId="0" applyFill="1" applyBorder="1" applyAlignment="1">
      <alignment horizontal="center" vertical="center"/>
    </xf>
    <xf numFmtId="0" fontId="0" fillId="22" borderId="4" xfId="0" applyFill="1" applyBorder="1">
      <alignment vertical="center"/>
    </xf>
    <xf numFmtId="0" fontId="0" fillId="22" borderId="4" xfId="0" applyFill="1" applyBorder="1" applyAlignment="1">
      <alignment horizontal="center" vertical="center"/>
    </xf>
    <xf numFmtId="0" fontId="0" fillId="19" borderId="6" xfId="0" applyFill="1" applyBorder="1" applyAlignment="1">
      <alignment vertical="center"/>
    </xf>
    <xf numFmtId="0" fontId="0" fillId="19" borderId="25" xfId="0" applyFill="1" applyBorder="1" applyAlignment="1">
      <alignment vertical="center"/>
    </xf>
    <xf numFmtId="0" fontId="0" fillId="22" borderId="6" xfId="0" applyFill="1" applyBorder="1" applyAlignment="1">
      <alignment vertical="center"/>
    </xf>
    <xf numFmtId="0" fontId="13" fillId="20" borderId="32" xfId="0" applyFont="1" applyFill="1" applyBorder="1">
      <alignment vertical="center"/>
    </xf>
    <xf numFmtId="0" fontId="13" fillId="19" borderId="32" xfId="0" applyFont="1" applyFill="1" applyBorder="1">
      <alignment vertical="center"/>
    </xf>
    <xf numFmtId="0" fontId="0" fillId="19" borderId="33" xfId="0" applyFill="1" applyBorder="1" applyAlignment="1">
      <alignment horizontal="center" vertical="center"/>
    </xf>
    <xf numFmtId="0" fontId="13" fillId="22" borderId="32" xfId="0" applyFont="1" applyFill="1" applyBorder="1">
      <alignment vertical="center"/>
    </xf>
    <xf numFmtId="0" fontId="0" fillId="22" borderId="33" xfId="0" applyFill="1" applyBorder="1" applyAlignment="1">
      <alignment horizontal="center" vertical="center"/>
    </xf>
    <xf numFmtId="0" fontId="13" fillId="20" borderId="32" xfId="0" applyFont="1" applyFill="1" applyBorder="1" applyAlignment="1">
      <alignment vertical="center" wrapText="1"/>
    </xf>
    <xf numFmtId="0" fontId="15" fillId="19" borderId="4" xfId="0" applyFont="1" applyFill="1" applyBorder="1">
      <alignment vertical="center"/>
    </xf>
    <xf numFmtId="0" fontId="13" fillId="24" borderId="21" xfId="0" applyFont="1" applyFill="1" applyBorder="1">
      <alignment vertical="center"/>
    </xf>
    <xf numFmtId="0" fontId="13" fillId="24" borderId="22" xfId="0" applyFont="1" applyFill="1" applyBorder="1">
      <alignment vertical="center"/>
    </xf>
    <xf numFmtId="0" fontId="13" fillId="24" borderId="32" xfId="0" applyFont="1" applyFill="1" applyBorder="1" applyAlignment="1">
      <alignment vertical="center" wrapText="1"/>
    </xf>
    <xf numFmtId="0" fontId="0" fillId="24" borderId="6" xfId="0" applyFill="1" applyBorder="1" applyAlignment="1">
      <alignment horizontal="center" vertical="center"/>
    </xf>
    <xf numFmtId="0" fontId="0" fillId="24" borderId="6" xfId="0" applyFill="1" applyBorder="1">
      <alignment vertical="center"/>
    </xf>
    <xf numFmtId="0" fontId="0" fillId="24" borderId="4" xfId="0" applyFill="1" applyBorder="1" applyAlignment="1">
      <alignment horizontal="center" vertical="center"/>
    </xf>
    <xf numFmtId="0" fontId="0" fillId="24" borderId="4" xfId="0" applyFill="1" applyBorder="1">
      <alignment vertical="center"/>
    </xf>
    <xf numFmtId="0" fontId="0" fillId="24" borderId="25" xfId="0" applyFill="1" applyBorder="1" applyAlignment="1">
      <alignment horizontal="center" vertical="center"/>
    </xf>
    <xf numFmtId="0" fontId="0" fillId="24" borderId="25" xfId="0" applyFill="1" applyBorder="1">
      <alignment vertical="center"/>
    </xf>
    <xf numFmtId="0" fontId="13" fillId="20" borderId="1" xfId="0" applyFont="1" applyFill="1" applyBorder="1">
      <alignment vertical="center"/>
    </xf>
    <xf numFmtId="0" fontId="13" fillId="20" borderId="2" xfId="0" applyFont="1" applyFill="1" applyBorder="1">
      <alignment vertical="center"/>
    </xf>
    <xf numFmtId="0" fontId="13" fillId="20" borderId="41" xfId="0" applyFont="1" applyFill="1" applyBorder="1">
      <alignment vertical="center"/>
    </xf>
    <xf numFmtId="0" fontId="0" fillId="20" borderId="6" xfId="0" applyFill="1" applyBorder="1" applyAlignment="1">
      <alignment horizontal="left" vertical="center"/>
    </xf>
    <xf numFmtId="0" fontId="0" fillId="20" borderId="44" xfId="0" applyFill="1" applyBorder="1" applyAlignment="1">
      <alignment horizontal="center" vertical="center"/>
    </xf>
    <xf numFmtId="0" fontId="0" fillId="20" borderId="13" xfId="0" applyFill="1" applyBorder="1" applyAlignment="1">
      <alignment horizontal="left" vertical="center"/>
    </xf>
    <xf numFmtId="0" fontId="13" fillId="19" borderId="1" xfId="0" applyFont="1" applyFill="1" applyBorder="1">
      <alignment vertical="center"/>
    </xf>
    <xf numFmtId="0" fontId="13" fillId="19" borderId="2" xfId="0" applyFont="1" applyFill="1" applyBorder="1">
      <alignment vertical="center"/>
    </xf>
    <xf numFmtId="0" fontId="13" fillId="19" borderId="41" xfId="0" applyFont="1" applyFill="1" applyBorder="1">
      <alignment vertical="center"/>
    </xf>
    <xf numFmtId="0" fontId="0" fillId="19" borderId="11" xfId="0" applyFill="1" applyBorder="1" applyAlignment="1">
      <alignment horizontal="center" vertical="center"/>
    </xf>
    <xf numFmtId="0" fontId="0" fillId="19" borderId="13" xfId="0" applyFill="1" applyBorder="1" applyAlignment="1">
      <alignment vertical="center"/>
    </xf>
    <xf numFmtId="0" fontId="0" fillId="19" borderId="13" xfId="0" applyFill="1" applyBorder="1" applyAlignment="1">
      <alignment horizontal="left" vertical="center"/>
    </xf>
    <xf numFmtId="0" fontId="0" fillId="19" borderId="13" xfId="0" applyFill="1" applyBorder="1" applyAlignment="1">
      <alignment horizontal="center" vertical="center"/>
    </xf>
    <xf numFmtId="0" fontId="13" fillId="22" borderId="1" xfId="0" applyFont="1" applyFill="1" applyBorder="1">
      <alignment vertical="center"/>
    </xf>
    <xf numFmtId="0" fontId="13" fillId="22" borderId="2" xfId="0" applyFont="1" applyFill="1" applyBorder="1">
      <alignment vertical="center"/>
    </xf>
    <xf numFmtId="0" fontId="13" fillId="22" borderId="41" xfId="0" applyFont="1" applyFill="1" applyBorder="1">
      <alignment vertical="center"/>
    </xf>
    <xf numFmtId="0" fontId="0" fillId="22" borderId="4" xfId="0" applyFill="1" applyBorder="1" applyAlignment="1">
      <alignment horizontal="left" vertical="center"/>
    </xf>
    <xf numFmtId="0" fontId="0" fillId="22" borderId="13" xfId="0" applyFill="1" applyBorder="1" applyAlignment="1">
      <alignment horizontal="left" vertical="center"/>
    </xf>
    <xf numFmtId="0" fontId="0" fillId="22" borderId="13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13" fillId="0" borderId="2" xfId="0" applyFont="1" applyBorder="1" applyProtection="1">
      <alignment vertical="center"/>
      <protection locked="0"/>
    </xf>
    <xf numFmtId="0" fontId="13" fillId="0" borderId="2" xfId="0" applyFont="1" applyFill="1" applyBorder="1" applyProtection="1">
      <alignment vertical="center"/>
      <protection locked="0"/>
    </xf>
    <xf numFmtId="0" fontId="0" fillId="22" borderId="6" xfId="0" applyFill="1" applyBorder="1" applyAlignment="1" applyProtection="1">
      <alignment horizontal="center" vertical="center"/>
      <protection locked="0"/>
    </xf>
    <xf numFmtId="0" fontId="0" fillId="22" borderId="6" xfId="0" applyFill="1" applyBorder="1" applyAlignment="1" applyProtection="1">
      <alignment horizontal="center" vertical="center"/>
    </xf>
    <xf numFmtId="0" fontId="0" fillId="18" borderId="6" xfId="0" applyFill="1" applyBorder="1" applyAlignment="1" applyProtection="1">
      <alignment horizontal="center" vertical="center"/>
      <protection locked="0"/>
    </xf>
    <xf numFmtId="0" fontId="0" fillId="18" borderId="6" xfId="0" applyFill="1" applyBorder="1" applyAlignment="1" applyProtection="1">
      <alignment horizontal="center" vertical="center"/>
    </xf>
    <xf numFmtId="0" fontId="0" fillId="23" borderId="6" xfId="0" applyFill="1" applyBorder="1" applyAlignment="1" applyProtection="1">
      <alignment horizontal="center" vertical="center"/>
      <protection locked="0"/>
    </xf>
    <xf numFmtId="0" fontId="0" fillId="23" borderId="6" xfId="0" applyFill="1" applyBorder="1" applyAlignment="1" applyProtection="1">
      <alignment horizontal="center" vertical="center"/>
    </xf>
    <xf numFmtId="0" fontId="13" fillId="22" borderId="9" xfId="0" applyFont="1" applyFill="1" applyBorder="1" applyAlignment="1" applyProtection="1">
      <alignment horizontal="center" vertical="center"/>
      <protection locked="0"/>
    </xf>
    <xf numFmtId="0" fontId="13" fillId="23" borderId="9" xfId="0" applyFont="1" applyFill="1" applyBorder="1" applyAlignment="1" applyProtection="1">
      <alignment horizontal="center" vertical="center"/>
      <protection locked="0"/>
    </xf>
    <xf numFmtId="0" fontId="13" fillId="18" borderId="9" xfId="0" applyFont="1" applyFill="1" applyBorder="1" applyAlignment="1" applyProtection="1">
      <alignment horizontal="center" vertical="center"/>
      <protection locked="0"/>
    </xf>
    <xf numFmtId="0" fontId="13" fillId="23" borderId="12" xfId="0" applyFont="1" applyFill="1" applyBorder="1" applyAlignment="1" applyProtection="1">
      <alignment horizontal="center" vertical="center"/>
      <protection locked="0"/>
    </xf>
    <xf numFmtId="0" fontId="0" fillId="23" borderId="13" xfId="0" applyFill="1" applyBorder="1" applyAlignment="1" applyProtection="1">
      <alignment horizontal="center" vertical="center"/>
      <protection locked="0"/>
    </xf>
    <xf numFmtId="0" fontId="0" fillId="23" borderId="13" xfId="0" applyFill="1" applyBorder="1" applyAlignment="1" applyProtection="1">
      <alignment horizontal="center" vertical="center"/>
    </xf>
    <xf numFmtId="0" fontId="13" fillId="14" borderId="1" xfId="0" applyFont="1" applyFill="1" applyBorder="1" applyAlignment="1" applyProtection="1">
      <alignment horizontal="center" vertical="center"/>
      <protection locked="0"/>
    </xf>
    <xf numFmtId="0" fontId="0" fillId="14" borderId="2" xfId="0" applyFill="1" applyBorder="1" applyAlignment="1" applyProtection="1">
      <alignment horizontal="center" vertical="center"/>
      <protection locked="0"/>
    </xf>
    <xf numFmtId="0" fontId="0" fillId="18" borderId="6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13" fillId="0" borderId="20" xfId="0" applyFont="1" applyBorder="1">
      <alignment vertical="center"/>
    </xf>
    <xf numFmtId="0" fontId="0" fillId="23" borderId="11" xfId="0" applyFill="1" applyBorder="1" applyAlignment="1" applyProtection="1">
      <alignment horizontal="center" vertical="center"/>
    </xf>
    <xf numFmtId="0" fontId="0" fillId="14" borderId="50" xfId="0" applyFill="1" applyBorder="1" applyAlignment="1" applyProtection="1">
      <alignment horizontal="center" vertical="center"/>
    </xf>
    <xf numFmtId="0" fontId="0" fillId="16" borderId="51" xfId="0" applyFill="1" applyBorder="1" applyAlignment="1">
      <alignment horizontal="center" vertical="center"/>
    </xf>
    <xf numFmtId="0" fontId="0" fillId="23" borderId="19" xfId="0" applyFill="1" applyBorder="1" applyAlignment="1">
      <alignment horizontal="center" vertical="center"/>
    </xf>
    <xf numFmtId="0" fontId="0" fillId="14" borderId="20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0" fillId="27" borderId="6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/>
    </xf>
    <xf numFmtId="0" fontId="2" fillId="6" borderId="55" xfId="0" applyFont="1" applyFill="1" applyBorder="1" applyAlignment="1">
      <alignment horizontal="center"/>
    </xf>
    <xf numFmtId="0" fontId="2" fillId="6" borderId="56" xfId="0" applyFont="1" applyFill="1" applyBorder="1" applyAlignment="1">
      <alignment horizontal="center"/>
    </xf>
    <xf numFmtId="0" fontId="2" fillId="7" borderId="47" xfId="0" applyFont="1" applyFill="1" applyBorder="1" applyAlignment="1"/>
    <xf numFmtId="0" fontId="2" fillId="30" borderId="3" xfId="1" applyFont="1" applyFill="1" applyBorder="1">
      <alignment vertical="center"/>
    </xf>
    <xf numFmtId="0" fontId="2" fillId="2" borderId="0" xfId="0" applyFont="1" applyFill="1" applyBorder="1" applyAlignment="1">
      <alignment horizontal="center"/>
    </xf>
    <xf numFmtId="0" fontId="4" fillId="0" borderId="0" xfId="0" applyFont="1" applyBorder="1" applyAlignment="1" applyProtection="1">
      <alignment horizontal="right" vertical="center"/>
      <protection locked="0"/>
    </xf>
    <xf numFmtId="0" fontId="0" fillId="0" borderId="0" xfId="0">
      <alignment vertical="center"/>
    </xf>
    <xf numFmtId="0" fontId="13" fillId="0" borderId="6" xfId="0" applyFont="1" applyBorder="1" applyAlignment="1">
      <alignment horizontal="center" vertical="center"/>
    </xf>
    <xf numFmtId="0" fontId="0" fillId="0" borderId="6" xfId="0" applyBorder="1">
      <alignment vertical="center"/>
    </xf>
    <xf numFmtId="0" fontId="16" fillId="0" borderId="6" xfId="0" applyFont="1" applyBorder="1">
      <alignment vertical="center"/>
    </xf>
    <xf numFmtId="0" fontId="0" fillId="0" borderId="6" xfId="0" applyBorder="1" applyAlignment="1">
      <alignment horizontal="center" vertical="center"/>
    </xf>
    <xf numFmtId="0" fontId="0" fillId="0" borderId="6" xfId="0" applyBorder="1" applyAlignment="1">
      <alignment vertical="center" wrapText="1"/>
    </xf>
    <xf numFmtId="0" fontId="0" fillId="11" borderId="6" xfId="0" applyFill="1" applyBorder="1">
      <alignment vertical="center"/>
    </xf>
    <xf numFmtId="0" fontId="0" fillId="5" borderId="6" xfId="0" applyFill="1" applyBorder="1">
      <alignment vertical="center"/>
    </xf>
    <xf numFmtId="0" fontId="0" fillId="31" borderId="6" xfId="0" applyFill="1" applyBorder="1">
      <alignment vertical="center"/>
    </xf>
    <xf numFmtId="0" fontId="0" fillId="15" borderId="6" xfId="0" applyFill="1" applyBorder="1">
      <alignment vertical="center"/>
    </xf>
    <xf numFmtId="0" fontId="0" fillId="12" borderId="6" xfId="0" applyFill="1" applyBorder="1">
      <alignment vertical="center"/>
    </xf>
    <xf numFmtId="0" fontId="0" fillId="13" borderId="6" xfId="0" applyFill="1" applyBorder="1">
      <alignment vertical="center"/>
    </xf>
    <xf numFmtId="0" fontId="0" fillId="3" borderId="12" xfId="0" applyFill="1" applyBorder="1" applyAlignment="1">
      <alignment horizontal="center" vertical="center"/>
    </xf>
    <xf numFmtId="0" fontId="13" fillId="0" borderId="9" xfId="0" applyFont="1" applyBorder="1">
      <alignment vertical="center"/>
    </xf>
    <xf numFmtId="0" fontId="13" fillId="0" borderId="6" xfId="0" applyFont="1" applyFill="1" applyBorder="1">
      <alignment vertical="center"/>
    </xf>
    <xf numFmtId="0" fontId="0" fillId="0" borderId="9" xfId="0" applyBorder="1">
      <alignment vertical="center"/>
    </xf>
    <xf numFmtId="0" fontId="0" fillId="0" borderId="11" xfId="0" applyBorder="1">
      <alignment vertical="center"/>
    </xf>
    <xf numFmtId="0" fontId="13" fillId="0" borderId="6" xfId="0" applyFont="1" applyFill="1" applyBorder="1" applyAlignment="1">
      <alignment horizontal="center" vertical="center"/>
    </xf>
    <xf numFmtId="0" fontId="0" fillId="26" borderId="9" xfId="0" applyFill="1" applyBorder="1">
      <alignment vertical="center"/>
    </xf>
    <xf numFmtId="0" fontId="0" fillId="26" borderId="6" xfId="0" applyFill="1" applyBorder="1">
      <alignment vertical="center"/>
    </xf>
    <xf numFmtId="0" fontId="0" fillId="26" borderId="11" xfId="0" applyFill="1" applyBorder="1">
      <alignment vertical="center"/>
    </xf>
    <xf numFmtId="0" fontId="0" fillId="27" borderId="9" xfId="0" applyFill="1" applyBorder="1">
      <alignment vertical="center"/>
    </xf>
    <xf numFmtId="0" fontId="0" fillId="27" borderId="6" xfId="0" applyFill="1" applyBorder="1">
      <alignment vertical="center"/>
    </xf>
    <xf numFmtId="0" fontId="0" fillId="27" borderId="11" xfId="0" applyFill="1" applyBorder="1">
      <alignment vertical="center"/>
    </xf>
    <xf numFmtId="0" fontId="13" fillId="0" borderId="1" xfId="0" applyFont="1" applyBorder="1" applyAlignment="1" applyProtection="1">
      <alignment horizontal="center" vertical="center"/>
      <protection locked="0"/>
    </xf>
    <xf numFmtId="0" fontId="13" fillId="0" borderId="9" xfId="0" applyFont="1" applyFill="1" applyBorder="1">
      <alignment vertical="center"/>
    </xf>
    <xf numFmtId="0" fontId="0" fillId="28" borderId="12" xfId="0" applyFill="1" applyBorder="1">
      <alignment vertical="center"/>
    </xf>
    <xf numFmtId="0" fontId="0" fillId="28" borderId="13" xfId="0" applyFill="1" applyBorder="1">
      <alignment vertical="center"/>
    </xf>
    <xf numFmtId="0" fontId="0" fillId="28" borderId="46" xfId="0" applyFill="1" applyBorder="1">
      <alignment vertical="center"/>
    </xf>
    <xf numFmtId="0" fontId="13" fillId="4" borderId="9" xfId="0" applyFont="1" applyFill="1" applyBorder="1">
      <alignment vertical="center"/>
    </xf>
    <xf numFmtId="0" fontId="0" fillId="29" borderId="9" xfId="0" applyFill="1" applyBorder="1">
      <alignment vertical="center"/>
    </xf>
    <xf numFmtId="0" fontId="0" fillId="32" borderId="9" xfId="0" applyFill="1" applyBorder="1">
      <alignment vertical="center"/>
    </xf>
    <xf numFmtId="0" fontId="0" fillId="0" borderId="0" xfId="0">
      <alignment vertical="center"/>
    </xf>
    <xf numFmtId="0" fontId="2" fillId="7" borderId="6" xfId="0" applyFont="1" applyFill="1" applyBorder="1" applyAlignment="1"/>
    <xf numFmtId="0" fontId="2" fillId="7" borderId="11" xfId="0" applyFont="1" applyFill="1" applyBorder="1" applyAlignment="1"/>
    <xf numFmtId="0" fontId="2" fillId="7" borderId="4" xfId="0" applyFont="1" applyFill="1" applyBorder="1" applyAlignment="1"/>
    <xf numFmtId="0" fontId="2" fillId="7" borderId="5" xfId="0" applyFont="1" applyFill="1" applyBorder="1" applyAlignment="1">
      <alignment wrapText="1"/>
    </xf>
    <xf numFmtId="0" fontId="2" fillId="7" borderId="5" xfId="0" applyFont="1" applyFill="1" applyBorder="1" applyAlignment="1"/>
    <xf numFmtId="0" fontId="9" fillId="0" borderId="0" xfId="0" applyFont="1">
      <alignment vertical="center"/>
    </xf>
    <xf numFmtId="0" fontId="0" fillId="26" borderId="6" xfId="0" applyFill="1" applyBorder="1" applyAlignment="1">
      <alignment horizontal="center" vertical="center"/>
    </xf>
    <xf numFmtId="0" fontId="2" fillId="7" borderId="51" xfId="0" applyFont="1" applyFill="1" applyBorder="1" applyAlignment="1"/>
    <xf numFmtId="0" fontId="2" fillId="7" borderId="47" xfId="0" applyFont="1" applyFill="1" applyBorder="1" applyAlignment="1"/>
    <xf numFmtId="0" fontId="2" fillId="7" borderId="48" xfId="0" applyFont="1" applyFill="1" applyBorder="1" applyAlignment="1"/>
    <xf numFmtId="0" fontId="2" fillId="7" borderId="4" xfId="0" applyFont="1" applyFill="1" applyBorder="1" applyAlignment="1"/>
    <xf numFmtId="0" fontId="13" fillId="0" borderId="51" xfId="0" applyFont="1" applyFill="1" applyBorder="1">
      <alignment vertical="center"/>
    </xf>
    <xf numFmtId="0" fontId="0" fillId="0" borderId="51" xfId="0" applyBorder="1">
      <alignment vertical="center"/>
    </xf>
    <xf numFmtId="0" fontId="0" fillId="0" borderId="19" xfId="0" applyBorder="1">
      <alignment vertical="center"/>
    </xf>
    <xf numFmtId="0" fontId="13" fillId="0" borderId="6" xfId="0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13" fillId="25" borderId="6" xfId="0" applyFont="1" applyFill="1" applyBorder="1" applyAlignment="1">
      <alignment horizontal="center" vertical="center"/>
    </xf>
    <xf numFmtId="0" fontId="0" fillId="25" borderId="6" xfId="0" applyFill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3" fillId="14" borderId="6" xfId="0" applyFont="1" applyFill="1" applyBorder="1">
      <alignment vertical="center"/>
    </xf>
    <xf numFmtId="0" fontId="13" fillId="14" borderId="6" xfId="0" applyFont="1" applyFill="1" applyBorder="1" applyAlignment="1">
      <alignment vertical="center" wrapText="1"/>
    </xf>
    <xf numFmtId="0" fontId="0" fillId="14" borderId="6" xfId="0" applyFill="1" applyBorder="1" applyAlignment="1">
      <alignment horizontal="center" vertical="center"/>
    </xf>
    <xf numFmtId="0" fontId="0" fillId="14" borderId="6" xfId="0" applyFill="1" applyBorder="1">
      <alignment vertical="center"/>
    </xf>
    <xf numFmtId="0" fontId="16" fillId="14" borderId="6" xfId="0" applyFont="1" applyFill="1" applyBorder="1">
      <alignment vertical="center"/>
    </xf>
    <xf numFmtId="0" fontId="16" fillId="14" borderId="6" xfId="0" applyFont="1" applyFill="1" applyBorder="1" applyAlignment="1">
      <alignment horizontal="center" vertical="center"/>
    </xf>
    <xf numFmtId="0" fontId="13" fillId="0" borderId="6" xfId="0" applyFont="1" applyBorder="1">
      <alignment vertical="center"/>
    </xf>
    <xf numFmtId="0" fontId="16" fillId="22" borderId="6" xfId="0" applyFont="1" applyFill="1" applyBorder="1" applyAlignment="1">
      <alignment horizontal="center" vertical="center"/>
    </xf>
    <xf numFmtId="0" fontId="0" fillId="27" borderId="51" xfId="0" applyFill="1" applyBorder="1">
      <alignment vertical="center"/>
    </xf>
    <xf numFmtId="0" fontId="0" fillId="32" borderId="6" xfId="0" applyFill="1" applyBorder="1" applyAlignment="1">
      <alignment vertical="center"/>
    </xf>
    <xf numFmtId="49" fontId="16" fillId="0" borderId="0" xfId="0" applyNumberFormat="1" applyFont="1" applyBorder="1" applyAlignment="1">
      <alignment horizontal="center" vertical="center"/>
    </xf>
    <xf numFmtId="0" fontId="0" fillId="25" borderId="6" xfId="0" applyNumberFormat="1" applyFill="1" applyBorder="1" applyAlignment="1">
      <alignment horizontal="center" vertical="center"/>
    </xf>
    <xf numFmtId="0" fontId="0" fillId="12" borderId="6" xfId="0" applyFill="1" applyBorder="1" applyAlignment="1" applyProtection="1">
      <alignment horizontal="center" vertical="center"/>
      <protection locked="0"/>
    </xf>
    <xf numFmtId="0" fontId="0" fillId="12" borderId="6" xfId="0" applyFill="1" applyBorder="1" applyAlignment="1">
      <alignment horizontal="center" vertical="center"/>
    </xf>
    <xf numFmtId="0" fontId="0" fillId="13" borderId="6" xfId="0" applyFill="1" applyBorder="1" applyAlignment="1" applyProtection="1">
      <alignment horizontal="center" vertical="center"/>
      <protection locked="0"/>
    </xf>
    <xf numFmtId="0" fontId="0" fillId="34" borderId="6" xfId="0" applyFill="1" applyBorder="1" applyAlignment="1" applyProtection="1">
      <alignment horizontal="center" vertical="center"/>
      <protection locked="0"/>
    </xf>
    <xf numFmtId="0" fontId="0" fillId="34" borderId="6" xfId="0" applyFont="1" applyFill="1" applyBorder="1" applyAlignment="1" applyProtection="1">
      <alignment horizontal="center" vertical="center"/>
      <protection locked="0"/>
    </xf>
    <xf numFmtId="0" fontId="0" fillId="5" borderId="6" xfId="0" applyFill="1" applyBorder="1" applyAlignment="1" applyProtection="1">
      <alignment horizontal="center" vertical="center"/>
      <protection locked="0"/>
    </xf>
    <xf numFmtId="0" fontId="0" fillId="37" borderId="6" xfId="0" applyFill="1" applyBorder="1" applyAlignment="1" applyProtection="1">
      <alignment horizontal="center" vertical="center"/>
      <protection locked="0"/>
    </xf>
    <xf numFmtId="0" fontId="0" fillId="37" borderId="6" xfId="0" applyFill="1" applyBorder="1" applyAlignment="1" applyProtection="1">
      <alignment horizontal="center" vertical="center"/>
    </xf>
    <xf numFmtId="0" fontId="0" fillId="37" borderId="51" xfId="0" applyFill="1" applyBorder="1" applyAlignment="1">
      <alignment horizontal="center" vertical="center"/>
    </xf>
    <xf numFmtId="0" fontId="0" fillId="38" borderId="6" xfId="0" applyFill="1" applyBorder="1" applyAlignment="1" applyProtection="1">
      <alignment horizontal="center" vertical="center"/>
      <protection locked="0"/>
    </xf>
    <xf numFmtId="0" fontId="0" fillId="33" borderId="6" xfId="0" applyFill="1" applyBorder="1" applyAlignment="1" applyProtection="1">
      <alignment horizontal="center" vertical="center"/>
    </xf>
    <xf numFmtId="0" fontId="0" fillId="33" borderId="6" xfId="0" applyFill="1" applyBorder="1" applyAlignment="1">
      <alignment horizontal="center" vertical="center"/>
    </xf>
    <xf numFmtId="0" fontId="0" fillId="33" borderId="13" xfId="0" applyFill="1" applyBorder="1" applyAlignment="1">
      <alignment horizontal="center" vertical="center"/>
    </xf>
    <xf numFmtId="0" fontId="0" fillId="33" borderId="11" xfId="0" applyFill="1" applyBorder="1" applyAlignment="1">
      <alignment horizontal="center" vertical="center"/>
    </xf>
    <xf numFmtId="0" fontId="0" fillId="40" borderId="6" xfId="0" applyFill="1" applyBorder="1" applyAlignment="1" applyProtection="1">
      <alignment horizontal="center" vertical="center"/>
      <protection locked="0"/>
    </xf>
    <xf numFmtId="0" fontId="0" fillId="36" borderId="11" xfId="0" applyFill="1" applyBorder="1" applyAlignment="1" applyProtection="1">
      <alignment horizontal="center" vertical="center"/>
    </xf>
    <xf numFmtId="0" fontId="0" fillId="36" borderId="11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38" borderId="46" xfId="0" applyFill="1" applyBorder="1" applyAlignment="1">
      <alignment horizontal="center" vertical="center"/>
    </xf>
    <xf numFmtId="0" fontId="0" fillId="35" borderId="11" xfId="0" applyFill="1" applyBorder="1" applyAlignment="1">
      <alignment horizontal="center" vertical="center"/>
    </xf>
    <xf numFmtId="0" fontId="0" fillId="39" borderId="11" xfId="0" applyFill="1" applyBorder="1" applyAlignment="1">
      <alignment horizontal="center" vertical="center"/>
    </xf>
    <xf numFmtId="0" fontId="0" fillId="26" borderId="6" xfId="0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7" fillId="43" borderId="0" xfId="0" applyFont="1" applyFill="1" applyAlignment="1">
      <alignment horizontal="left" vertical="center"/>
    </xf>
    <xf numFmtId="0" fontId="0" fillId="0" borderId="6" xfId="0" applyFill="1" applyBorder="1">
      <alignment vertical="center"/>
    </xf>
    <xf numFmtId="0" fontId="0" fillId="0" borderId="6" xfId="0" quotePrefix="1" applyBorder="1">
      <alignment vertical="center"/>
    </xf>
    <xf numFmtId="0" fontId="0" fillId="26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27" borderId="6" xfId="0" applyFill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0" fillId="26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27" borderId="6" xfId="0" applyFill="1" applyBorder="1" applyAlignment="1">
      <alignment horizontal="center" vertical="center"/>
    </xf>
    <xf numFmtId="0" fontId="13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27" borderId="6" xfId="0" applyFill="1" applyBorder="1" applyAlignment="1">
      <alignment horizontal="center" vertical="center"/>
    </xf>
    <xf numFmtId="0" fontId="0" fillId="26" borderId="6" xfId="0" applyFill="1" applyBorder="1" applyAlignment="1">
      <alignment horizontal="center" vertical="center"/>
    </xf>
    <xf numFmtId="0" fontId="0" fillId="27" borderId="6" xfId="0" applyFill="1" applyBorder="1" applyAlignment="1">
      <alignment horizontal="center" vertical="center"/>
    </xf>
    <xf numFmtId="0" fontId="0" fillId="27" borderId="6" xfId="0" applyFill="1" applyBorder="1" applyAlignment="1">
      <alignment horizontal="center" vertical="center"/>
    </xf>
    <xf numFmtId="0" fontId="0" fillId="27" borderId="6" xfId="0" applyFill="1" applyBorder="1" applyAlignment="1">
      <alignment horizontal="center" vertical="center"/>
    </xf>
    <xf numFmtId="0" fontId="0" fillId="26" borderId="6" xfId="0" applyFill="1" applyBorder="1" applyAlignment="1">
      <alignment horizontal="center" vertical="center"/>
    </xf>
    <xf numFmtId="0" fontId="0" fillId="27" borderId="4" xfId="0" applyFill="1" applyBorder="1" applyAlignment="1">
      <alignment horizontal="center" vertical="center"/>
    </xf>
    <xf numFmtId="0" fontId="0" fillId="22" borderId="6" xfId="0" applyFill="1" applyBorder="1" applyAlignment="1">
      <alignment horizontal="center" vertical="center"/>
    </xf>
    <xf numFmtId="0" fontId="0" fillId="26" borderId="4" xfId="0" applyFill="1" applyBorder="1" applyAlignment="1">
      <alignment horizontal="center" vertical="center"/>
    </xf>
    <xf numFmtId="0" fontId="0" fillId="22" borderId="6" xfId="0" applyFill="1" applyBorder="1" applyAlignment="1">
      <alignment horizontal="center" vertical="center"/>
    </xf>
    <xf numFmtId="0" fontId="0" fillId="15" borderId="6" xfId="0" applyFill="1" applyBorder="1" applyAlignment="1">
      <alignment horizontal="center" vertical="center"/>
    </xf>
    <xf numFmtId="0" fontId="0" fillId="23" borderId="6" xfId="0" applyFill="1" applyBorder="1" applyAlignment="1">
      <alignment horizontal="center" vertical="center"/>
    </xf>
    <xf numFmtId="0" fontId="0" fillId="44" borderId="6" xfId="0" applyFill="1" applyBorder="1" applyAlignment="1">
      <alignment horizontal="center" vertical="center"/>
    </xf>
    <xf numFmtId="0" fontId="0" fillId="25" borderId="61" xfId="0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29" borderId="6" xfId="0" applyFill="1" applyBorder="1" applyAlignment="1">
      <alignment horizontal="center" vertical="center"/>
    </xf>
    <xf numFmtId="0" fontId="0" fillId="22" borderId="6" xfId="0" applyFill="1" applyBorder="1" applyAlignment="1">
      <alignment horizontal="center" vertical="center"/>
    </xf>
    <xf numFmtId="0" fontId="0" fillId="20" borderId="6" xfId="0" applyFill="1" applyBorder="1" applyAlignment="1">
      <alignment horizontal="center" vertical="center"/>
    </xf>
    <xf numFmtId="0" fontId="0" fillId="22" borderId="6" xfId="0" applyFill="1" applyBorder="1" applyAlignment="1">
      <alignment horizontal="center" vertical="center"/>
    </xf>
    <xf numFmtId="0" fontId="0" fillId="26" borderId="6" xfId="0" applyFill="1" applyBorder="1" applyAlignment="1">
      <alignment horizontal="center" vertical="center"/>
    </xf>
    <xf numFmtId="0" fontId="0" fillId="27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/>
    </xf>
    <xf numFmtId="0" fontId="2" fillId="6" borderId="10" xfId="0" applyFont="1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6" borderId="17" xfId="0" applyFont="1" applyFill="1" applyBorder="1" applyAlignment="1">
      <alignment horizontal="center"/>
    </xf>
    <xf numFmtId="0" fontId="2" fillId="6" borderId="7" xfId="0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2" fillId="7" borderId="10" xfId="0" applyFont="1" applyFill="1" applyBorder="1" applyAlignment="1">
      <alignment horizontal="center"/>
    </xf>
    <xf numFmtId="0" fontId="2" fillId="6" borderId="53" xfId="0" applyFont="1" applyFill="1" applyBorder="1" applyAlignment="1">
      <alignment horizontal="center"/>
    </xf>
    <xf numFmtId="0" fontId="2" fillId="6" borderId="38" xfId="0" applyFont="1" applyFill="1" applyBorder="1" applyAlignment="1">
      <alignment horizontal="center"/>
    </xf>
    <xf numFmtId="0" fontId="2" fillId="6" borderId="50" xfId="0" applyFont="1" applyFill="1" applyBorder="1" applyAlignment="1">
      <alignment horizontal="center"/>
    </xf>
    <xf numFmtId="0" fontId="2" fillId="6" borderId="54" xfId="0" applyFont="1" applyFill="1" applyBorder="1" applyAlignment="1">
      <alignment horizontal="center"/>
    </xf>
    <xf numFmtId="0" fontId="2" fillId="6" borderId="17" xfId="0" applyFont="1" applyFill="1" applyBorder="1" applyAlignment="1" applyProtection="1">
      <alignment horizontal="center" wrapText="1"/>
      <protection locked="0"/>
    </xf>
    <xf numFmtId="0" fontId="2" fillId="6" borderId="7" xfId="0" applyFont="1" applyFill="1" applyBorder="1" applyAlignment="1" applyProtection="1">
      <alignment horizontal="center" wrapText="1"/>
      <protection locked="0"/>
    </xf>
    <xf numFmtId="0" fontId="13" fillId="0" borderId="6" xfId="0" applyFont="1" applyBorder="1" applyAlignment="1">
      <alignment horizontal="center" vertical="center"/>
    </xf>
    <xf numFmtId="0" fontId="13" fillId="23" borderId="3" xfId="0" applyFont="1" applyFill="1" applyBorder="1" applyAlignment="1" applyProtection="1">
      <alignment horizontal="center" vertical="center"/>
      <protection locked="0"/>
    </xf>
    <xf numFmtId="0" fontId="13" fillId="23" borderId="37" xfId="0" applyFont="1" applyFill="1" applyBorder="1" applyAlignment="1" applyProtection="1">
      <alignment horizontal="center" vertical="center"/>
      <protection locked="0"/>
    </xf>
    <xf numFmtId="0" fontId="13" fillId="23" borderId="38" xfId="0" applyFont="1" applyFill="1" applyBorder="1" applyAlignment="1" applyProtection="1">
      <alignment horizontal="center" vertical="center"/>
      <protection locked="0"/>
    </xf>
    <xf numFmtId="0" fontId="0" fillId="0" borderId="51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13" fillId="16" borderId="3" xfId="0" applyFont="1" applyFill="1" applyBorder="1" applyAlignment="1">
      <alignment horizontal="center" vertical="center"/>
    </xf>
    <xf numFmtId="0" fontId="13" fillId="16" borderId="37" xfId="0" applyFont="1" applyFill="1" applyBorder="1" applyAlignment="1">
      <alignment horizontal="center" vertical="center"/>
    </xf>
    <xf numFmtId="0" fontId="13" fillId="16" borderId="43" xfId="0" applyFont="1" applyFill="1" applyBorder="1" applyAlignment="1">
      <alignment horizontal="center" vertical="center"/>
    </xf>
    <xf numFmtId="0" fontId="13" fillId="22" borderId="3" xfId="0" applyFont="1" applyFill="1" applyBorder="1" applyAlignment="1" applyProtection="1">
      <alignment horizontal="center" vertical="center"/>
      <protection locked="0"/>
    </xf>
    <xf numFmtId="0" fontId="0" fillId="0" borderId="38" xfId="0" applyBorder="1">
      <alignment vertical="center"/>
    </xf>
    <xf numFmtId="0" fontId="13" fillId="22" borderId="37" xfId="0" applyFont="1" applyFill="1" applyBorder="1" applyAlignment="1" applyProtection="1">
      <alignment horizontal="center" vertical="center"/>
      <protection locked="0"/>
    </xf>
    <xf numFmtId="0" fontId="13" fillId="22" borderId="38" xfId="0" applyFont="1" applyFill="1" applyBorder="1" applyAlignment="1" applyProtection="1">
      <alignment horizontal="center" vertical="center"/>
      <protection locked="0"/>
    </xf>
    <xf numFmtId="0" fontId="13" fillId="0" borderId="57" xfId="0" applyFont="1" applyFill="1" applyBorder="1" applyAlignment="1">
      <alignment horizontal="center" vertical="center"/>
    </xf>
    <xf numFmtId="0" fontId="13" fillId="0" borderId="52" xfId="0" applyFont="1" applyFill="1" applyBorder="1" applyAlignment="1">
      <alignment horizontal="center" vertical="center"/>
    </xf>
    <xf numFmtId="0" fontId="13" fillId="0" borderId="41" xfId="0" applyFont="1" applyFill="1" applyBorder="1" applyAlignment="1">
      <alignment horizontal="center" vertical="center"/>
    </xf>
    <xf numFmtId="0" fontId="13" fillId="4" borderId="51" xfId="0" applyFont="1" applyFill="1" applyBorder="1" applyAlignment="1">
      <alignment horizontal="center" vertical="center"/>
    </xf>
    <xf numFmtId="0" fontId="13" fillId="4" borderId="58" xfId="0" applyFont="1" applyFill="1" applyBorder="1" applyAlignment="1">
      <alignment horizontal="center" vertical="center"/>
    </xf>
    <xf numFmtId="0" fontId="13" fillId="4" borderId="59" xfId="0" applyFont="1" applyFill="1" applyBorder="1" applyAlignment="1">
      <alignment horizontal="center" vertical="center"/>
    </xf>
    <xf numFmtId="0" fontId="0" fillId="4" borderId="51" xfId="0" applyFill="1" applyBorder="1" applyAlignment="1">
      <alignment horizontal="center" vertical="center"/>
    </xf>
    <xf numFmtId="0" fontId="0" fillId="4" borderId="58" xfId="0" applyFill="1" applyBorder="1" applyAlignment="1">
      <alignment horizontal="center" vertical="center"/>
    </xf>
    <xf numFmtId="0" fontId="0" fillId="4" borderId="59" xfId="0" applyFill="1" applyBorder="1" applyAlignment="1">
      <alignment horizontal="center" vertical="center"/>
    </xf>
    <xf numFmtId="0" fontId="0" fillId="32" borderId="37" xfId="0" applyFill="1" applyBorder="1" applyAlignment="1">
      <alignment horizontal="center" vertical="center"/>
    </xf>
    <xf numFmtId="0" fontId="0" fillId="32" borderId="38" xfId="0" applyFill="1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27" borderId="4" xfId="0" applyFill="1" applyBorder="1" applyAlignment="1">
      <alignment horizontal="center" vertical="center"/>
    </xf>
    <xf numFmtId="0" fontId="0" fillId="27" borderId="27" xfId="0" applyFill="1" applyBorder="1" applyAlignment="1">
      <alignment horizontal="center" vertical="center"/>
    </xf>
    <xf numFmtId="0" fontId="0" fillId="27" borderId="7" xfId="0" applyFill="1" applyBorder="1" applyAlignment="1">
      <alignment horizontal="center" vertical="center"/>
    </xf>
    <xf numFmtId="0" fontId="18" fillId="29" borderId="4" xfId="0" applyFont="1" applyFill="1" applyBorder="1" applyAlignment="1">
      <alignment horizontal="center" vertical="center"/>
    </xf>
    <xf numFmtId="0" fontId="18" fillId="29" borderId="27" xfId="0" applyFont="1" applyFill="1" applyBorder="1" applyAlignment="1">
      <alignment horizontal="center" vertical="center"/>
    </xf>
    <xf numFmtId="0" fontId="18" fillId="29" borderId="7" xfId="0" applyFont="1" applyFill="1" applyBorder="1" applyAlignment="1">
      <alignment horizontal="center" vertical="center"/>
    </xf>
    <xf numFmtId="0" fontId="0" fillId="22" borderId="4" xfId="0" applyFill="1" applyBorder="1" applyAlignment="1">
      <alignment horizontal="center" vertical="center"/>
    </xf>
    <xf numFmtId="0" fontId="0" fillId="22" borderId="27" xfId="0" applyFill="1" applyBorder="1" applyAlignment="1">
      <alignment horizontal="center" vertical="center"/>
    </xf>
    <xf numFmtId="0" fontId="0" fillId="22" borderId="7" xfId="0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29" borderId="27" xfId="0" applyFill="1" applyBorder="1" applyAlignment="1">
      <alignment horizontal="center" vertical="center"/>
    </xf>
    <xf numFmtId="0" fontId="0" fillId="29" borderId="7" xfId="0" applyFill="1" applyBorder="1" applyAlignment="1">
      <alignment horizontal="center" vertical="center"/>
    </xf>
    <xf numFmtId="0" fontId="0" fillId="41" borderId="1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0" fontId="0" fillId="42" borderId="27" xfId="0" applyFill="1" applyBorder="1" applyAlignment="1">
      <alignment horizontal="center" vertical="center"/>
    </xf>
    <xf numFmtId="0" fontId="0" fillId="42" borderId="7" xfId="0" applyFill="1" applyBorder="1" applyAlignment="1">
      <alignment horizontal="center" vertical="center"/>
    </xf>
    <xf numFmtId="0" fontId="0" fillId="20" borderId="4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20" borderId="27" xfId="0" applyFill="1" applyBorder="1" applyAlignment="1">
      <alignment horizontal="center" vertical="center"/>
    </xf>
    <xf numFmtId="0" fontId="0" fillId="26" borderId="6" xfId="0" applyFill="1" applyBorder="1" applyAlignment="1">
      <alignment horizontal="center" vertical="center"/>
    </xf>
    <xf numFmtId="0" fontId="0" fillId="20" borderId="6" xfId="0" applyFill="1" applyBorder="1" applyAlignment="1">
      <alignment horizontal="center" vertical="center"/>
    </xf>
    <xf numFmtId="0" fontId="0" fillId="22" borderId="6" xfId="0" applyFill="1" applyBorder="1" applyAlignment="1">
      <alignment horizontal="center" vertical="center"/>
    </xf>
    <xf numFmtId="0" fontId="0" fillId="27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42" borderId="14" xfId="0" applyFill="1" applyBorder="1" applyAlignment="1">
      <alignment horizontal="center" vertical="center"/>
    </xf>
    <xf numFmtId="0" fontId="0" fillId="22" borderId="6" xfId="0" applyFill="1" applyBorder="1">
      <alignment vertical="center"/>
    </xf>
    <xf numFmtId="0" fontId="0" fillId="12" borderId="14" xfId="0" applyFill="1" applyBorder="1" applyAlignment="1">
      <alignment horizontal="center" vertical="center"/>
    </xf>
    <xf numFmtId="0" fontId="0" fillId="12" borderId="18" xfId="0" applyFill="1" applyBorder="1" applyAlignment="1">
      <alignment horizontal="center" vertical="center"/>
    </xf>
    <xf numFmtId="0" fontId="0" fillId="26" borderId="4" xfId="0" applyFill="1" applyBorder="1" applyAlignment="1">
      <alignment horizontal="center" vertical="center"/>
    </xf>
    <xf numFmtId="0" fontId="0" fillId="26" borderId="27" xfId="0" applyFill="1" applyBorder="1" applyAlignment="1">
      <alignment horizontal="center" vertical="center"/>
    </xf>
    <xf numFmtId="0" fontId="0" fillId="26" borderId="7" xfId="0" applyFill="1" applyBorder="1" applyAlignment="1">
      <alignment horizontal="center" vertical="center"/>
    </xf>
    <xf numFmtId="0" fontId="13" fillId="22" borderId="6" xfId="0" applyFont="1" applyFill="1" applyBorder="1" applyAlignment="1">
      <alignment horizontal="center" vertical="center"/>
    </xf>
    <xf numFmtId="0" fontId="13" fillId="26" borderId="6" xfId="0" applyFont="1" applyFill="1" applyBorder="1" applyAlignment="1">
      <alignment horizontal="center" vertical="center"/>
    </xf>
    <xf numFmtId="0" fontId="0" fillId="19" borderId="4" xfId="0" applyFill="1" applyBorder="1" applyAlignment="1">
      <alignment horizontal="center" vertical="center"/>
    </xf>
    <xf numFmtId="0" fontId="0" fillId="19" borderId="27" xfId="0" applyFill="1" applyBorder="1" applyAlignment="1">
      <alignment horizontal="center" vertical="center"/>
    </xf>
    <xf numFmtId="0" fontId="0" fillId="19" borderId="29" xfId="0" applyFill="1" applyBorder="1" applyAlignment="1">
      <alignment horizontal="center" vertical="center"/>
    </xf>
    <xf numFmtId="0" fontId="0" fillId="19" borderId="28" xfId="0" applyFill="1" applyBorder="1" applyAlignment="1">
      <alignment horizontal="center" vertical="center"/>
    </xf>
    <xf numFmtId="0" fontId="0" fillId="19" borderId="34" xfId="0" applyFill="1" applyBorder="1" applyAlignment="1">
      <alignment horizontal="center" vertical="center"/>
    </xf>
    <xf numFmtId="0" fontId="0" fillId="19" borderId="35" xfId="0" applyFill="1" applyBorder="1" applyAlignment="1">
      <alignment horizontal="center" vertical="center"/>
    </xf>
    <xf numFmtId="0" fontId="0" fillId="22" borderId="23" xfId="0" applyFill="1" applyBorder="1" applyAlignment="1">
      <alignment horizontal="center" vertical="center"/>
    </xf>
    <xf numFmtId="0" fontId="0" fillId="22" borderId="26" xfId="0" applyFill="1" applyBorder="1" applyAlignment="1">
      <alignment horizontal="center" vertical="center"/>
    </xf>
    <xf numFmtId="0" fontId="0" fillId="22" borderId="24" xfId="0" applyFill="1" applyBorder="1" applyAlignment="1">
      <alignment horizontal="center" vertical="center"/>
    </xf>
    <xf numFmtId="0" fontId="0" fillId="19" borderId="23" xfId="0" applyFill="1" applyBorder="1" applyAlignment="1">
      <alignment horizontal="center" vertical="center"/>
    </xf>
    <xf numFmtId="0" fontId="0" fillId="19" borderId="26" xfId="0" applyFill="1" applyBorder="1" applyAlignment="1">
      <alignment horizontal="center" vertical="center"/>
    </xf>
    <xf numFmtId="0" fontId="0" fillId="19" borderId="24" xfId="0" applyFill="1" applyBorder="1" applyAlignment="1">
      <alignment horizontal="center" vertical="center"/>
    </xf>
    <xf numFmtId="0" fontId="0" fillId="19" borderId="7" xfId="0" applyFill="1" applyBorder="1" applyAlignment="1">
      <alignment horizontal="center" vertical="center"/>
    </xf>
    <xf numFmtId="0" fontId="0" fillId="19" borderId="36" xfId="0" applyFill="1" applyBorder="1" applyAlignment="1">
      <alignment horizontal="center" vertical="center"/>
    </xf>
    <xf numFmtId="0" fontId="0" fillId="22" borderId="47" xfId="0" applyFill="1" applyBorder="1" applyAlignment="1">
      <alignment horizontal="center" vertical="center"/>
    </xf>
    <xf numFmtId="0" fontId="0" fillId="22" borderId="48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0" borderId="23" xfId="0" applyFill="1" applyBorder="1" applyAlignment="1">
      <alignment horizontal="center" vertical="center"/>
    </xf>
    <xf numFmtId="0" fontId="0" fillId="20" borderId="24" xfId="0" applyFill="1" applyBorder="1" applyAlignment="1">
      <alignment horizontal="center" vertical="center"/>
    </xf>
    <xf numFmtId="0" fontId="0" fillId="20" borderId="28" xfId="0" applyFill="1" applyBorder="1" applyAlignment="1">
      <alignment horizontal="center" vertical="center"/>
    </xf>
    <xf numFmtId="0" fontId="0" fillId="20" borderId="34" xfId="0" applyFill="1" applyBorder="1" applyAlignment="1">
      <alignment horizontal="center" vertical="center"/>
    </xf>
    <xf numFmtId="0" fontId="0" fillId="20" borderId="35" xfId="0" applyFill="1" applyBorder="1" applyAlignment="1">
      <alignment horizontal="center" vertical="center"/>
    </xf>
    <xf numFmtId="0" fontId="0" fillId="14" borderId="6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0" fillId="14" borderId="27" xfId="0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0" fontId="16" fillId="14" borderId="4" xfId="0" applyFont="1" applyFill="1" applyBorder="1" applyAlignment="1">
      <alignment horizontal="center" vertical="center"/>
    </xf>
    <xf numFmtId="0" fontId="16" fillId="14" borderId="27" xfId="0" applyFont="1" applyFill="1" applyBorder="1" applyAlignment="1">
      <alignment horizontal="center" vertical="center"/>
    </xf>
    <xf numFmtId="0" fontId="16" fillId="14" borderId="7" xfId="0" applyFont="1" applyFill="1" applyBorder="1" applyAlignment="1">
      <alignment horizontal="center" vertical="center"/>
    </xf>
    <xf numFmtId="0" fontId="0" fillId="22" borderId="30" xfId="0" applyFill="1" applyBorder="1" applyAlignment="1">
      <alignment horizontal="center" vertical="center"/>
    </xf>
    <xf numFmtId="0" fontId="0" fillId="22" borderId="31" xfId="0" applyFill="1" applyBorder="1" applyAlignment="1">
      <alignment horizontal="center" vertical="center"/>
    </xf>
    <xf numFmtId="0" fontId="0" fillId="19" borderId="28" xfId="0" applyFill="1" applyBorder="1" applyAlignment="1">
      <alignment horizontal="center" vertical="center" wrapText="1"/>
    </xf>
    <xf numFmtId="0" fontId="0" fillId="19" borderId="34" xfId="0" applyFill="1" applyBorder="1" applyAlignment="1">
      <alignment horizontal="center" vertical="center" wrapText="1"/>
    </xf>
    <xf numFmtId="0" fontId="0" fillId="19" borderId="35" xfId="0" applyFill="1" applyBorder="1" applyAlignment="1">
      <alignment horizontal="center" vertical="center" wrapText="1"/>
    </xf>
    <xf numFmtId="0" fontId="0" fillId="22" borderId="4" xfId="0" applyFill="1" applyBorder="1" applyAlignment="1">
      <alignment horizontal="center" vertical="center" wrapText="1"/>
    </xf>
    <xf numFmtId="0" fontId="0" fillId="22" borderId="27" xfId="0" applyFill="1" applyBorder="1" applyAlignment="1">
      <alignment horizontal="center" vertical="center" wrapText="1"/>
    </xf>
    <xf numFmtId="0" fontId="0" fillId="22" borderId="7" xfId="0" applyFill="1" applyBorder="1" applyAlignment="1">
      <alignment horizontal="center" vertical="center" wrapText="1"/>
    </xf>
    <xf numFmtId="0" fontId="0" fillId="20" borderId="29" xfId="0" applyFill="1" applyBorder="1" applyAlignment="1">
      <alignment horizontal="center" vertical="center"/>
    </xf>
    <xf numFmtId="0" fontId="0" fillId="19" borderId="39" xfId="0" applyFill="1" applyBorder="1" applyAlignment="1">
      <alignment horizontal="center" vertical="center"/>
    </xf>
    <xf numFmtId="0" fontId="0" fillId="19" borderId="40" xfId="0" applyFill="1" applyBorder="1" applyAlignment="1">
      <alignment horizontal="center" vertical="center"/>
    </xf>
    <xf numFmtId="0" fontId="0" fillId="22" borderId="39" xfId="0" applyFill="1" applyBorder="1" applyAlignment="1">
      <alignment horizontal="center" vertical="center"/>
    </xf>
    <xf numFmtId="0" fontId="0" fillId="22" borderId="40" xfId="0" applyFill="1" applyBorder="1" applyAlignment="1">
      <alignment horizontal="center" vertical="center"/>
    </xf>
    <xf numFmtId="0" fontId="0" fillId="24" borderId="23" xfId="0" applyFill="1" applyBorder="1" applyAlignment="1">
      <alignment horizontal="center" vertical="center"/>
    </xf>
    <xf numFmtId="0" fontId="0" fillId="24" borderId="26" xfId="0" applyFill="1" applyBorder="1" applyAlignment="1">
      <alignment horizontal="center" vertical="center"/>
    </xf>
    <xf numFmtId="0" fontId="0" fillId="24" borderId="24" xfId="0" applyFill="1" applyBorder="1" applyAlignment="1">
      <alignment horizontal="center" vertical="center"/>
    </xf>
    <xf numFmtId="0" fontId="0" fillId="24" borderId="28" xfId="0" applyFill="1" applyBorder="1" applyAlignment="1">
      <alignment horizontal="center" vertical="center"/>
    </xf>
    <xf numFmtId="0" fontId="0" fillId="24" borderId="34" xfId="0" applyFill="1" applyBorder="1" applyAlignment="1">
      <alignment horizontal="center" vertical="center"/>
    </xf>
    <xf numFmtId="0" fontId="0" fillId="24" borderId="35" xfId="0" applyFill="1" applyBorder="1" applyAlignment="1">
      <alignment horizontal="center" vertical="center"/>
    </xf>
    <xf numFmtId="0" fontId="0" fillId="20" borderId="3" xfId="0" applyFill="1" applyBorder="1" applyAlignment="1">
      <alignment horizontal="center" vertical="center"/>
    </xf>
    <xf numFmtId="0" fontId="0" fillId="20" borderId="37" xfId="0" applyFill="1" applyBorder="1" applyAlignment="1">
      <alignment horizontal="center" vertical="center"/>
    </xf>
    <xf numFmtId="0" fontId="0" fillId="20" borderId="43" xfId="0" applyFill="1" applyBorder="1" applyAlignment="1">
      <alignment horizontal="center" vertical="center"/>
    </xf>
    <xf numFmtId="0" fontId="0" fillId="20" borderId="5" xfId="0" applyFill="1" applyBorder="1" applyAlignment="1">
      <alignment horizontal="center" vertical="center"/>
    </xf>
    <xf numFmtId="0" fontId="0" fillId="20" borderId="42" xfId="0" applyFill="1" applyBorder="1" applyAlignment="1">
      <alignment horizontal="center" vertical="center"/>
    </xf>
    <xf numFmtId="0" fontId="0" fillId="20" borderId="45" xfId="0" applyFill="1" applyBorder="1" applyAlignment="1">
      <alignment horizontal="center" vertical="center"/>
    </xf>
    <xf numFmtId="0" fontId="0" fillId="19" borderId="9" xfId="0" applyFill="1" applyBorder="1" applyAlignment="1">
      <alignment horizontal="center" vertical="center"/>
    </xf>
    <xf numFmtId="0" fontId="0" fillId="19" borderId="12" xfId="0" applyFill="1" applyBorder="1" applyAlignment="1">
      <alignment horizontal="center" vertical="center"/>
    </xf>
    <xf numFmtId="0" fontId="0" fillId="19" borderId="5" xfId="0" applyFill="1" applyBorder="1" applyAlignment="1">
      <alignment horizontal="center" vertical="center"/>
    </xf>
    <xf numFmtId="0" fontId="0" fillId="19" borderId="45" xfId="0" applyFill="1" applyBorder="1" applyAlignment="1">
      <alignment horizontal="center" vertical="center"/>
    </xf>
    <xf numFmtId="0" fontId="0" fillId="22" borderId="3" xfId="0" applyFill="1" applyBorder="1" applyAlignment="1">
      <alignment horizontal="center" vertical="center"/>
    </xf>
    <xf numFmtId="0" fontId="0" fillId="22" borderId="37" xfId="0" applyFill="1" applyBorder="1" applyAlignment="1">
      <alignment horizontal="center" vertical="center"/>
    </xf>
    <xf numFmtId="0" fontId="0" fillId="22" borderId="43" xfId="0" applyFill="1" applyBorder="1" applyAlignment="1">
      <alignment horizontal="center" vertical="center"/>
    </xf>
    <xf numFmtId="0" fontId="0" fillId="22" borderId="5" xfId="0" applyFill="1" applyBorder="1" applyAlignment="1">
      <alignment horizontal="center" vertical="center"/>
    </xf>
    <xf numFmtId="0" fontId="0" fillId="22" borderId="42" xfId="0" applyFill="1" applyBorder="1" applyAlignment="1">
      <alignment horizontal="center" vertical="center"/>
    </xf>
    <xf numFmtId="0" fontId="0" fillId="22" borderId="45" xfId="0" applyFill="1" applyBorder="1" applyAlignment="1">
      <alignment horizontal="center" vertical="center"/>
    </xf>
    <xf numFmtId="0" fontId="0" fillId="45" borderId="6" xfId="0" applyFill="1" applyBorder="1">
      <alignment vertical="center"/>
    </xf>
  </cellXfs>
  <cellStyles count="2">
    <cellStyle name="常规" xfId="0" builtinId="0"/>
    <cellStyle name="常规_humber_system_stm_alloc_rules" xfId="1"/>
  </cellStyles>
  <dxfs count="248"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</dxfs>
  <tableStyles count="0" defaultTableStyle="TableStyleMedium9" defaultPivotStyle="PivotStyleLight16"/>
  <colors>
    <mruColors>
      <color rgb="FF66FF6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ormat"/>
  <ax:ocxPr ax:name="Size" ax:value="4524;111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Gen Config"/>
  <ax:ocxPr ax:name="Size" ax:value="18415;2302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0</xdr:colOff>
      <xdr:row>35</xdr:row>
      <xdr:rowOff>152400</xdr:rowOff>
    </xdr:from>
    <xdr:to>
      <xdr:col>37</xdr:col>
      <xdr:colOff>114302</xdr:colOff>
      <xdr:row>47</xdr:row>
      <xdr:rowOff>47625</xdr:rowOff>
    </xdr:to>
    <xdr:pic>
      <xdr:nvPicPr>
        <xdr:cNvPr id="5133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2355175" y="6848475"/>
          <a:ext cx="13858875" cy="19526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8</xdr:col>
      <xdr:colOff>595521</xdr:colOff>
      <xdr:row>80</xdr:row>
      <xdr:rowOff>159854</xdr:rowOff>
    </xdr:from>
    <xdr:to>
      <xdr:col>14</xdr:col>
      <xdr:colOff>267536</xdr:colOff>
      <xdr:row>107</xdr:row>
      <xdr:rowOff>90694</xdr:rowOff>
    </xdr:to>
    <xdr:pic>
      <xdr:nvPicPr>
        <xdr:cNvPr id="3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124912" y="14596441"/>
          <a:ext cx="5627210" cy="470162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8</xdr:col>
      <xdr:colOff>270842</xdr:colOff>
      <xdr:row>116</xdr:row>
      <xdr:rowOff>149086</xdr:rowOff>
    </xdr:from>
    <xdr:to>
      <xdr:col>14</xdr:col>
      <xdr:colOff>1032012</xdr:colOff>
      <xdr:row>146</xdr:row>
      <xdr:rowOff>85724</xdr:rowOff>
    </xdr:to>
    <xdr:pic>
      <xdr:nvPicPr>
        <xdr:cNvPr id="5134" name="Picture 14"/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11800233" y="20921869"/>
          <a:ext cx="6716365" cy="515468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8</xdr:col>
      <xdr:colOff>1048577</xdr:colOff>
      <xdr:row>0</xdr:row>
      <xdr:rowOff>281608</xdr:rowOff>
    </xdr:from>
    <xdr:to>
      <xdr:col>24</xdr:col>
      <xdr:colOff>865532</xdr:colOff>
      <xdr:row>45</xdr:row>
      <xdr:rowOff>155298</xdr:rowOff>
    </xdr:to>
    <xdr:pic>
      <xdr:nvPicPr>
        <xdr:cNvPr id="5128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12577968" y="281608"/>
          <a:ext cx="9375085" cy="822256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A1:M64"/>
  <sheetViews>
    <sheetView topLeftCell="A10" workbookViewId="0">
      <selection activeCell="A65" sqref="A65"/>
    </sheetView>
  </sheetViews>
  <sheetFormatPr defaultRowHeight="13.5"/>
  <cols>
    <col min="1" max="1" width="59.25" style="3" customWidth="1"/>
    <col min="2" max="2" width="9" style="3"/>
    <col min="3" max="3" width="9" style="25"/>
    <col min="4" max="10" width="9" style="3"/>
    <col min="11" max="11" width="28.875" style="3" bestFit="1" customWidth="1"/>
    <col min="12" max="12" width="9" style="3"/>
    <col min="13" max="13" width="33.875" style="3" bestFit="1" customWidth="1"/>
    <col min="14" max="16384" width="9" style="3"/>
  </cols>
  <sheetData>
    <row r="1" spans="1:13" ht="14.25" thickBot="1">
      <c r="A1" s="2" t="s">
        <v>177</v>
      </c>
    </row>
    <row r="2" spans="1:13" ht="13.5" customHeight="1">
      <c r="A2" s="269" t="s">
        <v>178</v>
      </c>
      <c r="B2" s="265" t="s">
        <v>179</v>
      </c>
      <c r="C2" s="273" t="s">
        <v>180</v>
      </c>
      <c r="D2" s="265" t="s">
        <v>181</v>
      </c>
      <c r="E2" s="271"/>
      <c r="F2" s="272"/>
      <c r="G2" s="271" t="s">
        <v>182</v>
      </c>
      <c r="H2" s="272"/>
      <c r="I2" s="265" t="s">
        <v>183</v>
      </c>
      <c r="J2" s="265" t="s">
        <v>184</v>
      </c>
      <c r="K2" s="133"/>
      <c r="L2" s="133"/>
      <c r="M2" s="261" t="s">
        <v>185</v>
      </c>
    </row>
    <row r="3" spans="1:13">
      <c r="A3" s="270"/>
      <c r="B3" s="266"/>
      <c r="C3" s="274"/>
      <c r="D3" s="266"/>
      <c r="E3" s="4" t="s">
        <v>186</v>
      </c>
      <c r="F3" s="4" t="s">
        <v>187</v>
      </c>
      <c r="G3" s="4" t="s">
        <v>571</v>
      </c>
      <c r="H3" s="4" t="s">
        <v>188</v>
      </c>
      <c r="I3" s="266"/>
      <c r="J3" s="266"/>
      <c r="K3" s="134" t="s">
        <v>189</v>
      </c>
      <c r="L3" s="134" t="s">
        <v>190</v>
      </c>
      <c r="M3" s="262"/>
    </row>
    <row r="4" spans="1:13">
      <c r="A4" s="35" t="s">
        <v>191</v>
      </c>
      <c r="B4" s="171">
        <v>4094</v>
      </c>
      <c r="C4" s="139">
        <v>4094</v>
      </c>
      <c r="D4" s="172"/>
      <c r="E4" s="172"/>
      <c r="F4" s="172"/>
      <c r="G4" s="172">
        <v>1</v>
      </c>
      <c r="H4" s="172">
        <v>0</v>
      </c>
      <c r="I4" s="172"/>
      <c r="J4" s="172"/>
      <c r="K4" s="179"/>
      <c r="L4" s="179"/>
      <c r="M4" s="173"/>
    </row>
    <row r="5" spans="1:13">
      <c r="A5" s="36" t="s">
        <v>192</v>
      </c>
      <c r="B5" s="171">
        <v>2048</v>
      </c>
      <c r="C5" s="139">
        <v>2048</v>
      </c>
      <c r="D5" s="172">
        <v>0</v>
      </c>
      <c r="E5" s="172"/>
      <c r="F5" s="172"/>
      <c r="G5" s="172">
        <v>1</v>
      </c>
      <c r="H5" s="172">
        <v>0</v>
      </c>
      <c r="I5" s="172"/>
      <c r="J5" s="172"/>
      <c r="K5" s="179"/>
      <c r="L5" s="179"/>
      <c r="M5" s="173"/>
    </row>
    <row r="6" spans="1:13">
      <c r="A6" s="36" t="s">
        <v>193</v>
      </c>
      <c r="B6" s="171">
        <v>0</v>
      </c>
      <c r="C6" s="139">
        <v>0</v>
      </c>
      <c r="D6" s="172">
        <v>0</v>
      </c>
      <c r="E6" s="172"/>
      <c r="F6" s="172"/>
      <c r="G6" s="172">
        <v>1</v>
      </c>
      <c r="H6" s="172">
        <v>1</v>
      </c>
      <c r="I6" s="172"/>
      <c r="J6" s="172"/>
      <c r="K6" s="179"/>
      <c r="L6" s="179"/>
      <c r="M6" s="173"/>
    </row>
    <row r="7" spans="1:13">
      <c r="A7" s="10" t="s">
        <v>194</v>
      </c>
      <c r="B7" s="171">
        <v>24576</v>
      </c>
      <c r="C7" s="171">
        <v>24576</v>
      </c>
      <c r="D7" s="172">
        <v>0</v>
      </c>
      <c r="E7" s="172">
        <v>1</v>
      </c>
      <c r="F7" s="172"/>
      <c r="G7" s="172"/>
      <c r="H7" s="172"/>
      <c r="I7" s="172"/>
      <c r="J7" s="172"/>
      <c r="K7" s="179"/>
      <c r="L7" s="179"/>
      <c r="M7" s="173"/>
    </row>
    <row r="8" spans="1:13">
      <c r="A8" s="10" t="s">
        <v>195</v>
      </c>
      <c r="B8" s="171">
        <v>1024</v>
      </c>
      <c r="C8" s="139">
        <v>1024</v>
      </c>
      <c r="D8" s="172">
        <v>1</v>
      </c>
      <c r="E8" s="172">
        <v>0</v>
      </c>
      <c r="F8" s="172"/>
      <c r="G8" s="172"/>
      <c r="H8" s="172"/>
      <c r="I8" s="172"/>
      <c r="J8" s="172"/>
      <c r="K8" s="179"/>
      <c r="L8" s="179">
        <v>1</v>
      </c>
      <c r="M8" s="173"/>
    </row>
    <row r="9" spans="1:13">
      <c r="A9" s="10" t="s">
        <v>196</v>
      </c>
      <c r="B9" s="171">
        <v>64</v>
      </c>
      <c r="C9" s="139">
        <v>64</v>
      </c>
      <c r="D9" s="172">
        <v>0</v>
      </c>
      <c r="E9" s="172"/>
      <c r="F9" s="172"/>
      <c r="G9" s="172"/>
      <c r="H9" s="172"/>
      <c r="I9" s="172"/>
      <c r="J9" s="172"/>
      <c r="K9" s="179"/>
      <c r="L9" s="179"/>
      <c r="M9" s="173"/>
    </row>
    <row r="10" spans="1:13">
      <c r="A10" s="11" t="s">
        <v>197</v>
      </c>
      <c r="B10" s="171">
        <v>2048</v>
      </c>
      <c r="C10" s="171">
        <v>2048</v>
      </c>
      <c r="D10" s="172">
        <v>0</v>
      </c>
      <c r="E10" s="172"/>
      <c r="F10" s="172"/>
      <c r="G10" s="172">
        <v>1</v>
      </c>
      <c r="H10" s="172"/>
      <c r="I10" s="172"/>
      <c r="J10" s="172"/>
      <c r="K10" s="179"/>
      <c r="L10" s="179"/>
      <c r="M10" s="173"/>
    </row>
    <row r="11" spans="1:13">
      <c r="A11" s="11" t="s">
        <v>198</v>
      </c>
      <c r="B11" s="171">
        <v>2048</v>
      </c>
      <c r="C11" s="171">
        <v>2048</v>
      </c>
      <c r="D11" s="172"/>
      <c r="E11" s="172"/>
      <c r="F11" s="172"/>
      <c r="G11" s="172"/>
      <c r="H11" s="172">
        <v>1</v>
      </c>
      <c r="I11" s="172"/>
      <c r="J11" s="172"/>
      <c r="K11" s="179"/>
      <c r="L11" s="179"/>
      <c r="M11" s="173"/>
    </row>
    <row r="12" spans="1:13">
      <c r="A12" s="11" t="s">
        <v>199</v>
      </c>
      <c r="B12" s="171">
        <v>0</v>
      </c>
      <c r="C12" s="139">
        <v>0</v>
      </c>
      <c r="D12" s="172"/>
      <c r="E12" s="172"/>
      <c r="F12" s="172">
        <v>0</v>
      </c>
      <c r="G12" s="172"/>
      <c r="H12" s="172"/>
      <c r="I12" s="172"/>
      <c r="J12" s="172"/>
      <c r="K12" s="179"/>
      <c r="L12" s="179"/>
      <c r="M12" s="173"/>
    </row>
    <row r="13" spans="1:13">
      <c r="A13" s="32" t="s">
        <v>200</v>
      </c>
      <c r="B13" s="171">
        <v>0</v>
      </c>
      <c r="C13" s="139">
        <v>0</v>
      </c>
      <c r="D13" s="172">
        <v>0</v>
      </c>
      <c r="E13" s="172"/>
      <c r="F13" s="172"/>
      <c r="G13" s="172">
        <v>1</v>
      </c>
      <c r="H13" s="172"/>
      <c r="I13" s="172"/>
      <c r="J13" s="172"/>
      <c r="K13" s="179"/>
      <c r="L13" s="179"/>
      <c r="M13" s="173"/>
    </row>
    <row r="14" spans="1:13">
      <c r="A14" s="32" t="s">
        <v>201</v>
      </c>
      <c r="B14" s="171">
        <v>0</v>
      </c>
      <c r="C14" s="139">
        <v>0</v>
      </c>
      <c r="D14" s="174">
        <v>1</v>
      </c>
      <c r="E14" s="174">
        <v>1</v>
      </c>
      <c r="F14" s="174"/>
      <c r="G14" s="174"/>
      <c r="H14" s="172"/>
      <c r="I14" s="172"/>
      <c r="J14" s="172">
        <v>1</v>
      </c>
      <c r="K14" s="179"/>
      <c r="L14" s="179">
        <v>1</v>
      </c>
      <c r="M14" s="173"/>
    </row>
    <row r="15" spans="1:13">
      <c r="A15" s="32" t="s">
        <v>202</v>
      </c>
      <c r="B15" s="171">
        <v>0</v>
      </c>
      <c r="C15" s="139">
        <v>0</v>
      </c>
      <c r="D15" s="174"/>
      <c r="E15" s="174"/>
      <c r="F15" s="174"/>
      <c r="G15" s="174"/>
      <c r="H15" s="172"/>
      <c r="I15" s="172"/>
      <c r="J15" s="172"/>
      <c r="K15" s="179">
        <v>1</v>
      </c>
      <c r="L15" s="179"/>
      <c r="M15" s="173"/>
    </row>
    <row r="16" spans="1:13">
      <c r="A16" s="32" t="s">
        <v>203</v>
      </c>
      <c r="B16" s="171">
        <v>0</v>
      </c>
      <c r="C16" s="139">
        <v>0</v>
      </c>
      <c r="D16" s="172">
        <v>1</v>
      </c>
      <c r="E16" s="172">
        <v>1</v>
      </c>
      <c r="F16" s="172"/>
      <c r="G16" s="172"/>
      <c r="H16" s="172"/>
      <c r="I16" s="172"/>
      <c r="J16" s="172">
        <v>1</v>
      </c>
      <c r="K16" s="179"/>
      <c r="L16" s="179"/>
      <c r="M16" s="173"/>
    </row>
    <row r="17" spans="1:13">
      <c r="A17" s="32" t="s">
        <v>204</v>
      </c>
      <c r="B17" s="171">
        <v>0</v>
      </c>
      <c r="C17" s="139">
        <v>0</v>
      </c>
      <c r="D17" s="172">
        <v>1</v>
      </c>
      <c r="E17" s="172">
        <v>2</v>
      </c>
      <c r="F17" s="172"/>
      <c r="G17" s="172"/>
      <c r="H17" s="172">
        <v>1</v>
      </c>
      <c r="I17" s="172"/>
      <c r="J17" s="172">
        <v>1</v>
      </c>
      <c r="K17" s="179"/>
      <c r="L17" s="179"/>
      <c r="M17" s="173" t="s">
        <v>310</v>
      </c>
    </row>
    <row r="18" spans="1:13">
      <c r="A18" s="32" t="s">
        <v>205</v>
      </c>
      <c r="B18" s="171">
        <v>0</v>
      </c>
      <c r="C18" s="139">
        <v>0</v>
      </c>
      <c r="D18" s="172">
        <v>1</v>
      </c>
      <c r="E18" s="172">
        <v>2</v>
      </c>
      <c r="F18" s="172"/>
      <c r="G18" s="172"/>
      <c r="H18" s="172"/>
      <c r="I18" s="172"/>
      <c r="J18" s="172">
        <v>1</v>
      </c>
      <c r="K18" s="179"/>
      <c r="L18" s="179"/>
      <c r="M18" s="173"/>
    </row>
    <row r="19" spans="1:13">
      <c r="A19" s="32" t="s">
        <v>206</v>
      </c>
      <c r="B19" s="171">
        <v>0</v>
      </c>
      <c r="C19" s="139">
        <v>0</v>
      </c>
      <c r="D19" s="172">
        <v>1</v>
      </c>
      <c r="E19" s="172">
        <v>1</v>
      </c>
      <c r="F19" s="172"/>
      <c r="G19" s="172"/>
      <c r="H19" s="172">
        <v>1</v>
      </c>
      <c r="I19" s="172"/>
      <c r="J19" s="172"/>
      <c r="K19" s="179"/>
      <c r="L19" s="179"/>
      <c r="M19" s="173"/>
    </row>
    <row r="20" spans="1:13">
      <c r="A20" s="32" t="s">
        <v>207</v>
      </c>
      <c r="B20" s="171">
        <v>0</v>
      </c>
      <c r="C20" s="139">
        <v>0</v>
      </c>
      <c r="D20" s="172">
        <v>1</v>
      </c>
      <c r="E20" s="172">
        <v>1</v>
      </c>
      <c r="F20" s="172"/>
      <c r="G20" s="172"/>
      <c r="H20" s="172"/>
      <c r="I20" s="172"/>
      <c r="J20" s="172"/>
      <c r="K20" s="179"/>
      <c r="L20" s="179"/>
      <c r="M20" s="173"/>
    </row>
    <row r="21" spans="1:13">
      <c r="A21" s="33" t="s">
        <v>208</v>
      </c>
      <c r="B21" s="177">
        <v>0</v>
      </c>
      <c r="C21" s="29">
        <v>0</v>
      </c>
      <c r="D21" s="174">
        <v>0</v>
      </c>
      <c r="E21" s="174">
        <v>2</v>
      </c>
      <c r="F21" s="174"/>
      <c r="G21" s="174"/>
      <c r="H21" s="174"/>
      <c r="I21" s="174"/>
      <c r="J21" s="174"/>
      <c r="K21" s="180"/>
      <c r="L21" s="180"/>
      <c r="M21" s="267"/>
    </row>
    <row r="22" spans="1:13">
      <c r="A22" s="33" t="s">
        <v>209</v>
      </c>
      <c r="B22" s="171">
        <v>0</v>
      </c>
      <c r="C22" s="139">
        <v>0</v>
      </c>
      <c r="D22" s="174">
        <v>0</v>
      </c>
      <c r="E22" s="174">
        <v>0</v>
      </c>
      <c r="F22" s="174"/>
      <c r="G22" s="174"/>
      <c r="H22" s="174"/>
      <c r="I22" s="174"/>
      <c r="J22" s="174"/>
      <c r="K22" s="181"/>
      <c r="L22" s="181"/>
      <c r="M22" s="268"/>
    </row>
    <row r="23" spans="1:13">
      <c r="A23" s="33" t="s">
        <v>210</v>
      </c>
      <c r="B23" s="171"/>
      <c r="C23" s="139"/>
      <c r="D23" s="174">
        <v>0</v>
      </c>
      <c r="E23" s="174"/>
      <c r="F23" s="174"/>
      <c r="G23" s="174">
        <v>0</v>
      </c>
      <c r="H23" s="174">
        <v>1</v>
      </c>
      <c r="I23" s="174"/>
      <c r="J23" s="174"/>
      <c r="K23" s="180"/>
      <c r="L23" s="180"/>
      <c r="M23" s="176"/>
    </row>
    <row r="24" spans="1:13">
      <c r="A24" s="34" t="s">
        <v>211</v>
      </c>
      <c r="B24" s="171">
        <v>0</v>
      </c>
      <c r="C24" s="139">
        <v>0</v>
      </c>
      <c r="D24" s="174"/>
      <c r="E24" s="174"/>
      <c r="F24" s="174"/>
      <c r="G24" s="174">
        <v>0</v>
      </c>
      <c r="H24" s="174">
        <v>1</v>
      </c>
      <c r="I24" s="174"/>
      <c r="J24" s="174"/>
      <c r="K24" s="180"/>
      <c r="L24" s="180"/>
      <c r="M24" s="175"/>
    </row>
    <row r="25" spans="1:13">
      <c r="A25" s="34" t="s">
        <v>212</v>
      </c>
      <c r="B25" s="171">
        <v>0</v>
      </c>
      <c r="C25" s="139">
        <v>0</v>
      </c>
      <c r="D25" s="174"/>
      <c r="E25" s="174"/>
      <c r="F25" s="174"/>
      <c r="G25" s="174"/>
      <c r="H25" s="174"/>
      <c r="I25" s="174"/>
      <c r="J25" s="174"/>
      <c r="K25" s="180"/>
      <c r="L25" s="180"/>
      <c r="M25" s="175"/>
    </row>
    <row r="26" spans="1:13">
      <c r="A26" s="7" t="s">
        <v>213</v>
      </c>
      <c r="B26" s="171">
        <v>0</v>
      </c>
      <c r="C26" s="139">
        <v>0</v>
      </c>
      <c r="D26" s="174">
        <v>0</v>
      </c>
      <c r="E26" s="174"/>
      <c r="F26" s="174"/>
      <c r="G26" s="174">
        <v>0</v>
      </c>
      <c r="H26" s="174">
        <v>1</v>
      </c>
      <c r="I26" s="174"/>
      <c r="J26" s="174"/>
      <c r="K26" s="180"/>
      <c r="L26" s="180"/>
      <c r="M26" s="175"/>
    </row>
    <row r="27" spans="1:13">
      <c r="A27" s="7" t="s">
        <v>214</v>
      </c>
      <c r="B27" s="171">
        <v>0</v>
      </c>
      <c r="C27" s="139">
        <v>0</v>
      </c>
      <c r="D27" s="174"/>
      <c r="E27" s="174"/>
      <c r="F27" s="174"/>
      <c r="G27" s="174"/>
      <c r="H27" s="174"/>
      <c r="I27" s="174"/>
      <c r="J27" s="174"/>
      <c r="K27" s="180"/>
      <c r="L27" s="180"/>
      <c r="M27" s="175"/>
    </row>
    <row r="28" spans="1:13" ht="22.5">
      <c r="A28" s="12" t="s">
        <v>215</v>
      </c>
      <c r="B28" s="171">
        <v>2048</v>
      </c>
      <c r="C28" s="171">
        <v>2048</v>
      </c>
      <c r="D28" s="174">
        <v>1</v>
      </c>
      <c r="E28" s="174">
        <v>1</v>
      </c>
      <c r="F28" s="174"/>
      <c r="G28" s="174"/>
      <c r="H28" s="174"/>
      <c r="I28" s="174"/>
      <c r="J28" s="174">
        <v>2</v>
      </c>
      <c r="K28" s="180"/>
      <c r="L28" s="180"/>
      <c r="M28" s="175" t="s">
        <v>311</v>
      </c>
    </row>
    <row r="29" spans="1:13">
      <c r="A29" s="12" t="s">
        <v>216</v>
      </c>
      <c r="B29" s="171">
        <v>0</v>
      </c>
      <c r="C29" s="139">
        <v>0</v>
      </c>
      <c r="D29" s="174">
        <v>1</v>
      </c>
      <c r="E29" s="174">
        <v>1</v>
      </c>
      <c r="F29" s="174"/>
      <c r="G29" s="174"/>
      <c r="H29" s="174"/>
      <c r="I29" s="174">
        <v>0</v>
      </c>
      <c r="J29" s="174">
        <v>2</v>
      </c>
      <c r="K29" s="180"/>
      <c r="L29" s="180">
        <v>1</v>
      </c>
      <c r="M29" s="175"/>
    </row>
    <row r="30" spans="1:13">
      <c r="A30" s="12" t="s">
        <v>217</v>
      </c>
      <c r="B30" s="171">
        <v>0</v>
      </c>
      <c r="C30" s="139">
        <v>0</v>
      </c>
      <c r="D30" s="174">
        <v>1</v>
      </c>
      <c r="E30" s="174">
        <v>1</v>
      </c>
      <c r="F30" s="174"/>
      <c r="G30" s="174"/>
      <c r="H30" s="174"/>
      <c r="I30" s="174">
        <v>0</v>
      </c>
      <c r="J30" s="174">
        <v>4</v>
      </c>
      <c r="K30" s="180"/>
      <c r="L30" s="180">
        <v>1</v>
      </c>
      <c r="M30" s="175"/>
    </row>
    <row r="31" spans="1:13">
      <c r="A31" s="12" t="s">
        <v>218</v>
      </c>
      <c r="B31" s="171">
        <v>0</v>
      </c>
      <c r="C31" s="139">
        <v>0</v>
      </c>
      <c r="D31" s="174">
        <v>1</v>
      </c>
      <c r="E31" s="174">
        <v>1</v>
      </c>
      <c r="F31" s="174"/>
      <c r="G31" s="174"/>
      <c r="H31" s="174"/>
      <c r="I31" s="174">
        <v>0</v>
      </c>
      <c r="J31" s="174">
        <v>1</v>
      </c>
      <c r="K31" s="180"/>
      <c r="L31" s="180">
        <v>1</v>
      </c>
      <c r="M31" s="175" t="s">
        <v>312</v>
      </c>
    </row>
    <row r="32" spans="1:13">
      <c r="A32" s="12" t="s">
        <v>219</v>
      </c>
      <c r="B32" s="171">
        <v>0</v>
      </c>
      <c r="C32" s="139">
        <v>0</v>
      </c>
      <c r="D32" s="174">
        <v>1</v>
      </c>
      <c r="E32" s="174">
        <v>1</v>
      </c>
      <c r="F32" s="174"/>
      <c r="G32" s="174"/>
      <c r="H32" s="174"/>
      <c r="I32" s="174"/>
      <c r="J32" s="174">
        <v>2</v>
      </c>
      <c r="K32" s="180"/>
      <c r="L32" s="180">
        <v>1</v>
      </c>
      <c r="M32" s="175"/>
    </row>
    <row r="33" spans="1:13">
      <c r="A33" s="12" t="s">
        <v>220</v>
      </c>
      <c r="B33" s="171">
        <v>0</v>
      </c>
      <c r="C33" s="139">
        <v>0</v>
      </c>
      <c r="D33" s="174">
        <v>1</v>
      </c>
      <c r="E33" s="174">
        <v>1</v>
      </c>
      <c r="F33" s="174"/>
      <c r="G33" s="174"/>
      <c r="H33" s="174"/>
      <c r="I33" s="182">
        <v>0</v>
      </c>
      <c r="J33" s="174">
        <v>2</v>
      </c>
      <c r="K33" s="180"/>
      <c r="L33" s="180">
        <v>1</v>
      </c>
      <c r="M33" s="175"/>
    </row>
    <row r="34" spans="1:13">
      <c r="A34" s="12" t="s">
        <v>221</v>
      </c>
      <c r="B34" s="171">
        <v>0</v>
      </c>
      <c r="C34" s="139">
        <v>0</v>
      </c>
      <c r="D34" s="174"/>
      <c r="E34" s="174">
        <v>1</v>
      </c>
      <c r="F34" s="174"/>
      <c r="G34" s="174"/>
      <c r="H34" s="174"/>
      <c r="I34" s="182">
        <v>1</v>
      </c>
      <c r="J34" s="174"/>
      <c r="K34" s="180"/>
      <c r="L34" s="180"/>
      <c r="M34" s="175"/>
    </row>
    <row r="35" spans="1:13">
      <c r="A35" s="12" t="s">
        <v>222</v>
      </c>
      <c r="B35" s="171">
        <v>0</v>
      </c>
      <c r="C35" s="139">
        <v>0</v>
      </c>
      <c r="D35" s="174">
        <v>1</v>
      </c>
      <c r="E35" s="174">
        <v>1</v>
      </c>
      <c r="F35" s="174"/>
      <c r="G35" s="174"/>
      <c r="H35" s="174"/>
      <c r="I35" s="182">
        <v>0</v>
      </c>
      <c r="J35" s="174">
        <v>4</v>
      </c>
      <c r="K35" s="180"/>
      <c r="L35" s="180">
        <v>1</v>
      </c>
      <c r="M35" s="175"/>
    </row>
    <row r="36" spans="1:13">
      <c r="A36" s="12" t="s">
        <v>223</v>
      </c>
      <c r="B36" s="171">
        <v>0</v>
      </c>
      <c r="C36" s="139">
        <v>0</v>
      </c>
      <c r="D36" s="174"/>
      <c r="E36" s="174">
        <v>1</v>
      </c>
      <c r="F36" s="174"/>
      <c r="G36" s="174"/>
      <c r="H36" s="174"/>
      <c r="I36" s="182">
        <v>1</v>
      </c>
      <c r="J36" s="174"/>
      <c r="K36" s="180"/>
      <c r="L36" s="180"/>
      <c r="M36" s="175"/>
    </row>
    <row r="37" spans="1:13">
      <c r="A37" s="136" t="s">
        <v>224</v>
      </c>
      <c r="B37" s="171">
        <v>0</v>
      </c>
      <c r="C37" s="171">
        <v>0</v>
      </c>
      <c r="D37" s="174">
        <v>0</v>
      </c>
      <c r="E37" s="174">
        <v>1</v>
      </c>
      <c r="F37" s="174"/>
      <c r="G37" s="174"/>
      <c r="H37" s="174"/>
      <c r="I37" s="174"/>
      <c r="J37" s="174">
        <v>2</v>
      </c>
      <c r="K37" s="180"/>
      <c r="L37" s="180"/>
      <c r="M37" s="175"/>
    </row>
    <row r="38" spans="1:13">
      <c r="A38" s="136" t="s">
        <v>225</v>
      </c>
      <c r="B38" s="171">
        <v>0</v>
      </c>
      <c r="C38" s="139">
        <v>0</v>
      </c>
      <c r="D38" s="174">
        <v>0</v>
      </c>
      <c r="E38" s="174">
        <v>1</v>
      </c>
      <c r="F38" s="174"/>
      <c r="G38" s="174"/>
      <c r="H38" s="174"/>
      <c r="I38" s="174">
        <v>2</v>
      </c>
      <c r="J38" s="174"/>
      <c r="K38" s="180"/>
      <c r="L38" s="180"/>
      <c r="M38" s="175"/>
    </row>
    <row r="39" spans="1:13">
      <c r="A39" s="136" t="s">
        <v>226</v>
      </c>
      <c r="B39" s="171">
        <v>0</v>
      </c>
      <c r="C39" s="139">
        <v>0</v>
      </c>
      <c r="D39" s="174"/>
      <c r="E39" s="174"/>
      <c r="F39" s="174"/>
      <c r="G39" s="174"/>
      <c r="H39" s="174"/>
      <c r="I39" s="174">
        <v>2</v>
      </c>
      <c r="J39" s="174"/>
      <c r="K39" s="180"/>
      <c r="L39" s="180"/>
      <c r="M39" s="175"/>
    </row>
    <row r="40" spans="1:13">
      <c r="A40" s="136" t="s">
        <v>227</v>
      </c>
      <c r="B40" s="171">
        <v>0</v>
      </c>
      <c r="C40" s="139">
        <v>0</v>
      </c>
      <c r="D40" s="174">
        <v>0</v>
      </c>
      <c r="E40" s="174">
        <v>1</v>
      </c>
      <c r="F40" s="174"/>
      <c r="G40" s="174"/>
      <c r="H40" s="174"/>
      <c r="I40" s="174">
        <v>2</v>
      </c>
      <c r="J40" s="174">
        <v>2</v>
      </c>
      <c r="K40" s="180"/>
      <c r="L40" s="180"/>
      <c r="M40" s="175"/>
    </row>
    <row r="41" spans="1:13">
      <c r="A41" s="136" t="s">
        <v>228</v>
      </c>
      <c r="B41" s="171">
        <v>0</v>
      </c>
      <c r="C41" s="139">
        <v>0</v>
      </c>
      <c r="D41" s="174"/>
      <c r="E41" s="174"/>
      <c r="F41" s="174"/>
      <c r="G41" s="174"/>
      <c r="H41" s="174"/>
      <c r="I41" s="174">
        <v>2</v>
      </c>
      <c r="J41" s="174"/>
      <c r="K41" s="180"/>
      <c r="L41" s="180"/>
      <c r="M41" s="175"/>
    </row>
    <row r="42" spans="1:13">
      <c r="A42" s="37" t="s">
        <v>229</v>
      </c>
      <c r="B42" s="171">
        <v>64</v>
      </c>
      <c r="C42" s="139">
        <v>64</v>
      </c>
      <c r="D42" s="174">
        <v>0</v>
      </c>
      <c r="E42" s="174">
        <v>1</v>
      </c>
      <c r="F42" s="174"/>
      <c r="G42" s="174"/>
      <c r="H42" s="174"/>
      <c r="I42" s="174"/>
      <c r="J42" s="174"/>
      <c r="K42" s="180"/>
      <c r="L42" s="180"/>
      <c r="M42" s="175"/>
    </row>
    <row r="43" spans="1:13">
      <c r="A43" s="37" t="s">
        <v>230</v>
      </c>
      <c r="B43" s="171">
        <v>64</v>
      </c>
      <c r="C43" s="139">
        <v>64</v>
      </c>
      <c r="D43" s="174">
        <v>1</v>
      </c>
      <c r="E43" s="174"/>
      <c r="F43" s="174"/>
      <c r="G43" s="174"/>
      <c r="H43" s="174"/>
      <c r="I43" s="174">
        <v>0</v>
      </c>
      <c r="J43" s="174"/>
      <c r="K43" s="180"/>
      <c r="L43" s="180"/>
      <c r="M43" s="175"/>
    </row>
    <row r="44" spans="1:13">
      <c r="A44" s="37" t="s">
        <v>231</v>
      </c>
      <c r="B44" s="171">
        <v>128</v>
      </c>
      <c r="C44" s="139">
        <v>128</v>
      </c>
      <c r="D44" s="174">
        <v>1</v>
      </c>
      <c r="E44" s="174"/>
      <c r="F44" s="174"/>
      <c r="G44" s="174"/>
      <c r="H44" s="174"/>
      <c r="I44" s="174"/>
      <c r="J44" s="174"/>
      <c r="K44" s="180"/>
      <c r="L44" s="180"/>
      <c r="M44" s="175"/>
    </row>
    <row r="45" spans="1:13" ht="22.5">
      <c r="A45" s="37" t="s">
        <v>232</v>
      </c>
      <c r="B45" s="171">
        <v>48</v>
      </c>
      <c r="C45" s="139">
        <v>48</v>
      </c>
      <c r="D45" s="8">
        <v>0</v>
      </c>
      <c r="E45" s="8"/>
      <c r="F45" s="8"/>
      <c r="G45" s="8"/>
      <c r="H45" s="8"/>
      <c r="I45" s="8"/>
      <c r="J45" s="8"/>
      <c r="K45" s="135"/>
      <c r="L45" s="135"/>
      <c r="M45" s="9" t="s">
        <v>233</v>
      </c>
    </row>
    <row r="46" spans="1:13">
      <c r="A46" s="30"/>
      <c r="B46"/>
      <c r="C46"/>
      <c r="D46" s="31"/>
      <c r="E46" s="31"/>
      <c r="F46" s="31"/>
      <c r="G46" s="31"/>
      <c r="H46" s="31"/>
      <c r="I46" s="31"/>
      <c r="J46" s="31"/>
      <c r="K46" s="31"/>
      <c r="L46" s="31"/>
      <c r="M46" s="9"/>
    </row>
    <row r="47" spans="1:13" ht="14.25" thickBot="1">
      <c r="A47" s="23" t="s">
        <v>234</v>
      </c>
      <c r="B47">
        <f>E49</f>
        <v>26688</v>
      </c>
      <c r="C47">
        <v>19584</v>
      </c>
      <c r="D47" s="263"/>
      <c r="E47" s="263"/>
      <c r="F47" s="263"/>
      <c r="G47" s="263"/>
      <c r="H47" s="263"/>
      <c r="I47" s="263"/>
      <c r="J47" s="263"/>
      <c r="K47" s="132"/>
      <c r="L47" s="132"/>
      <c r="M47" s="9"/>
    </row>
    <row r="48" spans="1:13">
      <c r="A48" s="24" t="s">
        <v>235</v>
      </c>
      <c r="B48">
        <f>G49*2</f>
        <v>16380</v>
      </c>
      <c r="C48">
        <v>5632</v>
      </c>
      <c r="D48" s="264"/>
      <c r="E48" s="264"/>
      <c r="F48" s="264"/>
      <c r="G48" s="264"/>
      <c r="H48" s="264"/>
      <c r="I48" s="264"/>
      <c r="J48" s="264"/>
      <c r="K48" s="137"/>
      <c r="L48" s="137"/>
      <c r="M48" s="9"/>
    </row>
    <row r="49" spans="1:13" ht="14.25" thickBot="1">
      <c r="A49" s="13" t="s">
        <v>236</v>
      </c>
      <c r="B49" s="14"/>
      <c r="C49"/>
      <c r="D49" s="14">
        <f>SUMPRODUCT(D4:D45, B4:B45)</f>
        <v>3264</v>
      </c>
      <c r="E49" s="14">
        <f>MAX(1024,SUMPRODUCT(E4:E45, B4:B45))</f>
        <v>26688</v>
      </c>
      <c r="F49" s="14">
        <f>SUMPRODUCT(F4:F45, B4:B45)</f>
        <v>0</v>
      </c>
      <c r="G49" s="14">
        <f>MAX(1024,SUMPRODUCT(G4:G45, B4:B45))</f>
        <v>8190</v>
      </c>
      <c r="H49" s="14">
        <f>SUMPRODUCT(H4:H45, B4:B45)</f>
        <v>2048</v>
      </c>
      <c r="I49" s="14">
        <f>SUMPRODUCT(I4:I45, B4:B45)</f>
        <v>0</v>
      </c>
      <c r="J49" s="14">
        <f>SUMPRODUCT(J4:J45, B4:B45)</f>
        <v>4096</v>
      </c>
      <c r="K49" s="14">
        <f>SUMPRODUCT(K4:K45, B4:B45)</f>
        <v>0</v>
      </c>
      <c r="L49" s="14">
        <f>SUMPRODUCT(L4:L45, B4:B45)</f>
        <v>1024</v>
      </c>
      <c r="M49" s="9"/>
    </row>
    <row r="50" spans="1:13">
      <c r="C50"/>
    </row>
    <row r="51" spans="1:13">
      <c r="A51" s="15" t="s">
        <v>237</v>
      </c>
      <c r="B51" s="5"/>
      <c r="C51"/>
      <c r="G51" s="16"/>
      <c r="H51" s="16"/>
      <c r="I51" s="16"/>
      <c r="J51" s="16"/>
      <c r="K51" s="16"/>
      <c r="L51" s="16"/>
    </row>
    <row r="52" spans="1:13">
      <c r="A52" s="17" t="s">
        <v>238</v>
      </c>
      <c r="B52" s="17" t="s">
        <v>239</v>
      </c>
      <c r="C52"/>
    </row>
    <row r="53" spans="1:13" ht="14.25">
      <c r="A53" s="6" t="s">
        <v>240</v>
      </c>
      <c r="B53" s="1" t="e">
        <f xml:space="preserve"> Resource!#REF!/1024</f>
        <v>#REF!</v>
      </c>
      <c r="C53">
        <f>D49</f>
        <v>3264</v>
      </c>
    </row>
    <row r="54" spans="1:13" ht="14.25" customHeight="1">
      <c r="A54" s="6" t="s">
        <v>241</v>
      </c>
      <c r="B54" s="1">
        <f xml:space="preserve"> Resource!F79/1024</f>
        <v>8</v>
      </c>
      <c r="C54">
        <f>G49*2+H49</f>
        <v>18428</v>
      </c>
    </row>
    <row r="55" spans="1:13" ht="14.25" customHeight="1">
      <c r="A55" s="6" t="s">
        <v>242</v>
      </c>
      <c r="B55" s="1">
        <f xml:space="preserve"> Resource!F64/1024</f>
        <v>16</v>
      </c>
      <c r="C55">
        <f>E49+F49</f>
        <v>26688</v>
      </c>
    </row>
    <row r="56" spans="1:13" ht="14.25">
      <c r="A56" s="6" t="s">
        <v>243</v>
      </c>
      <c r="B56" s="1">
        <f xml:space="preserve"> Resource!F71/1024</f>
        <v>64</v>
      </c>
      <c r="C56" s="138">
        <f xml:space="preserve"> I49+J49+K49</f>
        <v>4096</v>
      </c>
    </row>
    <row r="58" spans="1:13" ht="14.25" thickBot="1">
      <c r="A58" s="18" t="s">
        <v>244</v>
      </c>
    </row>
    <row r="59" spans="1:13" ht="14.25">
      <c r="A59" s="19" t="s">
        <v>238</v>
      </c>
      <c r="B59" s="20" t="s">
        <v>245</v>
      </c>
      <c r="C59" s="27" t="s">
        <v>246</v>
      </c>
    </row>
    <row r="60" spans="1:13">
      <c r="A60" s="21" t="s">
        <v>181</v>
      </c>
      <c r="B60" s="21">
        <f>D49</f>
        <v>3264</v>
      </c>
      <c r="C60" s="28" t="e">
        <f>B53*1024-B60</f>
        <v>#REF!</v>
      </c>
    </row>
    <row r="61" spans="1:13">
      <c r="A61" s="21" t="s">
        <v>241</v>
      </c>
      <c r="B61" s="21">
        <f xml:space="preserve"> C54</f>
        <v>18428</v>
      </c>
      <c r="C61" s="28">
        <f xml:space="preserve"> B54*1024 - B61</f>
        <v>-10236</v>
      </c>
    </row>
    <row r="62" spans="1:13">
      <c r="A62" s="21" t="s">
        <v>242</v>
      </c>
      <c r="B62" s="21">
        <f xml:space="preserve"> C55</f>
        <v>26688</v>
      </c>
      <c r="C62" s="28">
        <f xml:space="preserve"> B55*1024 - B62</f>
        <v>-10304</v>
      </c>
    </row>
    <row r="63" spans="1:13">
      <c r="A63" s="21" t="s">
        <v>247</v>
      </c>
      <c r="B63" s="21">
        <f>I49+J49+K49</f>
        <v>4096</v>
      </c>
      <c r="C63" s="28">
        <f>B56*1024-B63</f>
        <v>61440</v>
      </c>
    </row>
    <row r="64" spans="1:13">
      <c r="A64" s="22"/>
      <c r="B64" s="16"/>
      <c r="C64" s="26"/>
    </row>
  </sheetData>
  <sheetProtection formatCells="0"/>
  <mergeCells count="11">
    <mergeCell ref="A2:A3"/>
    <mergeCell ref="B2:B3"/>
    <mergeCell ref="D2:D3"/>
    <mergeCell ref="E2:F2"/>
    <mergeCell ref="G2:H2"/>
    <mergeCell ref="C2:C3"/>
    <mergeCell ref="M2:M3"/>
    <mergeCell ref="D47:J48"/>
    <mergeCell ref="J2:J3"/>
    <mergeCell ref="I2:I3"/>
    <mergeCell ref="M21:M22"/>
  </mergeCells>
  <phoneticPr fontId="2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39"/>
  <sheetViews>
    <sheetView workbookViewId="0">
      <selection activeCell="A44" sqref="A44"/>
    </sheetView>
  </sheetViews>
  <sheetFormatPr defaultRowHeight="13.5"/>
  <cols>
    <col min="1" max="1" width="16.5" customWidth="1"/>
    <col min="3" max="3" width="19.5" customWidth="1"/>
    <col min="4" max="5" width="12.75" customWidth="1"/>
    <col min="6" max="6" width="11.5" customWidth="1"/>
  </cols>
  <sheetData>
    <row r="1" spans="1:8">
      <c r="A1" s="140" t="s">
        <v>248</v>
      </c>
      <c r="B1" s="140" t="s">
        <v>249</v>
      </c>
      <c r="C1" s="140" t="s">
        <v>250</v>
      </c>
      <c r="D1" s="140" t="s">
        <v>251</v>
      </c>
      <c r="E1" s="140" t="s">
        <v>252</v>
      </c>
      <c r="F1" s="275" t="s">
        <v>253</v>
      </c>
      <c r="G1" s="275"/>
      <c r="H1" s="275"/>
    </row>
    <row r="2" spans="1:8">
      <c r="A2" s="141"/>
      <c r="B2" s="141"/>
      <c r="C2" s="141"/>
      <c r="D2" s="141"/>
      <c r="E2" s="143" t="s">
        <v>254</v>
      </c>
      <c r="F2" s="143" t="s">
        <v>254</v>
      </c>
      <c r="G2" s="143" t="s">
        <v>255</v>
      </c>
      <c r="H2" s="143" t="s">
        <v>256</v>
      </c>
    </row>
    <row r="3" spans="1:8">
      <c r="A3" s="147" t="s">
        <v>257</v>
      </c>
      <c r="B3" s="141" t="s">
        <v>258</v>
      </c>
      <c r="C3" s="141"/>
      <c r="D3" s="141" t="s">
        <v>258</v>
      </c>
      <c r="E3" s="141" t="s">
        <v>258</v>
      </c>
      <c r="F3" s="141" t="s">
        <v>258</v>
      </c>
      <c r="G3" s="141" t="s">
        <v>258</v>
      </c>
      <c r="H3" s="141" t="s">
        <v>258</v>
      </c>
    </row>
    <row r="4" spans="1:8">
      <c r="A4" s="141"/>
      <c r="B4" s="141"/>
      <c r="C4" s="141"/>
      <c r="D4" s="141"/>
      <c r="E4" s="141"/>
      <c r="F4" s="141"/>
      <c r="G4" s="141"/>
      <c r="H4" s="141"/>
    </row>
    <row r="5" spans="1:8">
      <c r="A5" s="146" t="s">
        <v>259</v>
      </c>
      <c r="B5" s="141" t="s">
        <v>258</v>
      </c>
      <c r="C5" s="141"/>
      <c r="D5" s="141" t="s">
        <v>260</v>
      </c>
      <c r="E5" s="141" t="s">
        <v>258</v>
      </c>
      <c r="F5" s="141" t="s">
        <v>258</v>
      </c>
      <c r="G5" s="141" t="s">
        <v>258</v>
      </c>
      <c r="H5" s="141" t="s">
        <v>258</v>
      </c>
    </row>
    <row r="6" spans="1:8">
      <c r="A6" s="146" t="s">
        <v>261</v>
      </c>
      <c r="B6" s="141" t="s">
        <v>260</v>
      </c>
      <c r="C6" s="141"/>
      <c r="D6" s="141" t="s">
        <v>260</v>
      </c>
      <c r="E6" s="141" t="s">
        <v>258</v>
      </c>
      <c r="F6" s="141" t="s">
        <v>258</v>
      </c>
      <c r="G6" s="141" t="s">
        <v>258</v>
      </c>
      <c r="H6" s="141" t="s">
        <v>262</v>
      </c>
    </row>
    <row r="7" spans="1:8">
      <c r="A7" s="141"/>
      <c r="B7" s="141"/>
      <c r="C7" s="141"/>
      <c r="D7" s="141"/>
      <c r="E7" s="141"/>
      <c r="F7" s="141"/>
      <c r="G7" s="141"/>
      <c r="H7" s="141"/>
    </row>
    <row r="8" spans="1:8">
      <c r="A8" s="145" t="s">
        <v>263</v>
      </c>
      <c r="B8" s="141"/>
      <c r="C8" s="141"/>
      <c r="D8" s="141"/>
      <c r="E8" s="141"/>
      <c r="F8" s="141"/>
      <c r="G8" s="141"/>
      <c r="H8" s="141"/>
    </row>
    <row r="9" spans="1:8">
      <c r="A9" s="145" t="s">
        <v>264</v>
      </c>
      <c r="B9" s="141" t="s">
        <v>260</v>
      </c>
      <c r="C9" s="141"/>
      <c r="D9" s="141" t="s">
        <v>260</v>
      </c>
      <c r="E9" s="141" t="s">
        <v>258</v>
      </c>
      <c r="F9" s="141" t="s">
        <v>265</v>
      </c>
      <c r="G9" s="141" t="s">
        <v>258</v>
      </c>
      <c r="H9" s="141" t="s">
        <v>260</v>
      </c>
    </row>
    <row r="10" spans="1:8">
      <c r="A10" s="145" t="s">
        <v>266</v>
      </c>
      <c r="B10" s="141" t="s">
        <v>260</v>
      </c>
      <c r="C10" s="141"/>
      <c r="D10" s="141" t="s">
        <v>260</v>
      </c>
      <c r="E10" s="141" t="s">
        <v>258</v>
      </c>
      <c r="F10" s="141" t="s">
        <v>265</v>
      </c>
      <c r="G10" s="141" t="s">
        <v>260</v>
      </c>
      <c r="H10" s="141" t="s">
        <v>260</v>
      </c>
    </row>
    <row r="11" spans="1:8">
      <c r="A11" s="145" t="s">
        <v>267</v>
      </c>
      <c r="B11" s="141" t="s">
        <v>260</v>
      </c>
      <c r="C11" s="141"/>
      <c r="D11" s="141" t="s">
        <v>268</v>
      </c>
      <c r="E11" s="141" t="s">
        <v>265</v>
      </c>
      <c r="F11" s="142" t="s">
        <v>265</v>
      </c>
      <c r="G11" s="142" t="s">
        <v>260</v>
      </c>
      <c r="H11" s="142" t="s">
        <v>260</v>
      </c>
    </row>
    <row r="12" spans="1:8">
      <c r="A12" s="141"/>
      <c r="B12" s="141"/>
      <c r="C12" s="141"/>
      <c r="D12" s="141"/>
      <c r="E12" s="141"/>
      <c r="F12" s="141"/>
      <c r="G12" s="141"/>
      <c r="H12" s="141"/>
    </row>
    <row r="13" spans="1:8">
      <c r="A13" s="148" t="s">
        <v>269</v>
      </c>
      <c r="B13" s="141" t="s">
        <v>260</v>
      </c>
      <c r="C13" s="141"/>
      <c r="D13" s="141" t="s">
        <v>260</v>
      </c>
      <c r="E13" s="141" t="s">
        <v>270</v>
      </c>
      <c r="F13" s="141" t="s">
        <v>258</v>
      </c>
      <c r="G13" s="141" t="s">
        <v>258</v>
      </c>
      <c r="H13" s="141" t="s">
        <v>260</v>
      </c>
    </row>
    <row r="14" spans="1:8">
      <c r="A14" s="148" t="s">
        <v>271</v>
      </c>
      <c r="B14" s="141" t="s">
        <v>260</v>
      </c>
      <c r="C14" s="141"/>
      <c r="D14" s="141" t="s">
        <v>260</v>
      </c>
      <c r="E14" s="141" t="s">
        <v>272</v>
      </c>
      <c r="F14" s="141" t="s">
        <v>258</v>
      </c>
      <c r="G14" s="141" t="s">
        <v>258</v>
      </c>
      <c r="H14" s="141" t="s">
        <v>260</v>
      </c>
    </row>
    <row r="15" spans="1:8">
      <c r="A15" s="148" t="s">
        <v>273</v>
      </c>
      <c r="B15" s="141" t="s">
        <v>260</v>
      </c>
      <c r="C15" s="141"/>
      <c r="D15" s="141" t="s">
        <v>274</v>
      </c>
      <c r="E15" s="141" t="s">
        <v>275</v>
      </c>
      <c r="F15" s="141" t="s">
        <v>270</v>
      </c>
      <c r="G15" s="141" t="s">
        <v>258</v>
      </c>
      <c r="H15" s="141" t="s">
        <v>260</v>
      </c>
    </row>
    <row r="16" spans="1:8">
      <c r="A16" s="148" t="s">
        <v>276</v>
      </c>
      <c r="B16" s="141" t="s">
        <v>260</v>
      </c>
      <c r="C16" s="141"/>
      <c r="D16" s="141" t="s">
        <v>274</v>
      </c>
      <c r="E16" s="141" t="s">
        <v>275</v>
      </c>
      <c r="F16" s="141" t="s">
        <v>272</v>
      </c>
      <c r="G16" s="141" t="s">
        <v>258</v>
      </c>
      <c r="H16" s="141" t="s">
        <v>260</v>
      </c>
    </row>
    <row r="17" spans="1:8">
      <c r="A17" s="148" t="s">
        <v>277</v>
      </c>
      <c r="B17" s="141" t="s">
        <v>260</v>
      </c>
      <c r="C17" s="141"/>
      <c r="D17" s="141" t="s">
        <v>260</v>
      </c>
      <c r="E17" s="141" t="s">
        <v>258</v>
      </c>
      <c r="F17" s="141" t="s">
        <v>265</v>
      </c>
      <c r="G17" s="141" t="s">
        <v>258</v>
      </c>
      <c r="H17" s="141" t="s">
        <v>260</v>
      </c>
    </row>
    <row r="18" spans="1:8">
      <c r="A18" s="148" t="s">
        <v>278</v>
      </c>
      <c r="B18" s="141" t="s">
        <v>260</v>
      </c>
      <c r="C18" s="141"/>
      <c r="D18" s="141" t="s">
        <v>260</v>
      </c>
      <c r="E18" s="141" t="s">
        <v>258</v>
      </c>
      <c r="F18" s="141" t="s">
        <v>279</v>
      </c>
      <c r="G18" s="141" t="s">
        <v>258</v>
      </c>
      <c r="H18" s="141" t="s">
        <v>260</v>
      </c>
    </row>
    <row r="19" spans="1:8">
      <c r="A19" s="148" t="s">
        <v>280</v>
      </c>
      <c r="B19" s="141" t="s">
        <v>260</v>
      </c>
      <c r="C19" s="141"/>
      <c r="D19" s="141" t="s">
        <v>260</v>
      </c>
      <c r="E19" s="141" t="s">
        <v>258</v>
      </c>
      <c r="F19" s="141" t="s">
        <v>265</v>
      </c>
      <c r="G19" s="141" t="s">
        <v>258</v>
      </c>
      <c r="H19" s="141" t="s">
        <v>260</v>
      </c>
    </row>
    <row r="20" spans="1:8">
      <c r="A20" s="141"/>
      <c r="B20" s="141"/>
      <c r="C20" s="141"/>
      <c r="D20" s="141"/>
      <c r="E20" s="141"/>
      <c r="F20" s="141"/>
      <c r="G20" s="141"/>
      <c r="H20" s="141"/>
    </row>
    <row r="21" spans="1:8">
      <c r="A21" s="141"/>
      <c r="B21" s="141"/>
      <c r="C21" s="141"/>
      <c r="D21" s="141"/>
      <c r="E21" s="141"/>
      <c r="F21" s="141"/>
      <c r="G21" s="141"/>
      <c r="H21" s="141"/>
    </row>
    <row r="22" spans="1:8">
      <c r="A22" s="149" t="s">
        <v>281</v>
      </c>
      <c r="B22" s="141" t="s">
        <v>260</v>
      </c>
      <c r="C22" s="141"/>
      <c r="D22" s="141" t="s">
        <v>258</v>
      </c>
      <c r="E22" s="141" t="s">
        <v>258</v>
      </c>
      <c r="F22" s="141" t="s">
        <v>258</v>
      </c>
      <c r="G22" s="141" t="s">
        <v>258</v>
      </c>
      <c r="H22" s="141" t="s">
        <v>258</v>
      </c>
    </row>
    <row r="23" spans="1:8">
      <c r="A23" s="149" t="s">
        <v>282</v>
      </c>
      <c r="B23" s="141" t="s">
        <v>260</v>
      </c>
      <c r="C23" s="141"/>
      <c r="D23" s="141" t="s">
        <v>258</v>
      </c>
      <c r="E23" s="141" t="s">
        <v>258</v>
      </c>
      <c r="F23" s="141" t="s">
        <v>258</v>
      </c>
      <c r="G23" s="141" t="s">
        <v>258</v>
      </c>
      <c r="H23" s="141" t="s">
        <v>258</v>
      </c>
    </row>
    <row r="24" spans="1:8">
      <c r="A24" s="149" t="s">
        <v>283</v>
      </c>
      <c r="B24" s="141" t="s">
        <v>258</v>
      </c>
      <c r="C24" s="141"/>
      <c r="D24" s="141" t="s">
        <v>260</v>
      </c>
      <c r="E24" s="141" t="s">
        <v>258</v>
      </c>
      <c r="F24" s="141" t="s">
        <v>284</v>
      </c>
      <c r="G24" s="141" t="s">
        <v>258</v>
      </c>
      <c r="H24" s="141" t="s">
        <v>258</v>
      </c>
    </row>
    <row r="25" spans="1:8">
      <c r="A25" s="149" t="s">
        <v>285</v>
      </c>
      <c r="B25" s="141" t="s">
        <v>258</v>
      </c>
      <c r="C25" s="141"/>
      <c r="D25" s="141" t="s">
        <v>260</v>
      </c>
      <c r="E25" s="141" t="s">
        <v>286</v>
      </c>
      <c r="F25" s="141" t="s">
        <v>258</v>
      </c>
      <c r="G25" s="141" t="s">
        <v>258</v>
      </c>
      <c r="H25" s="141" t="s">
        <v>258</v>
      </c>
    </row>
    <row r="26" spans="1:8">
      <c r="A26" s="149" t="s">
        <v>287</v>
      </c>
      <c r="B26" s="141" t="s">
        <v>258</v>
      </c>
      <c r="C26" s="141"/>
      <c r="D26" s="141" t="s">
        <v>260</v>
      </c>
      <c r="E26" s="141" t="s">
        <v>288</v>
      </c>
      <c r="F26" s="141" t="s">
        <v>284</v>
      </c>
      <c r="G26" s="141" t="s">
        <v>258</v>
      </c>
      <c r="H26" s="141" t="s">
        <v>258</v>
      </c>
    </row>
    <row r="27" spans="1:8">
      <c r="A27" s="141"/>
      <c r="B27" s="141"/>
      <c r="C27" s="141"/>
      <c r="D27" s="141"/>
      <c r="E27" s="141"/>
      <c r="F27" s="141"/>
      <c r="G27" s="141"/>
      <c r="H27" s="141"/>
    </row>
    <row r="28" spans="1:8">
      <c r="A28" s="150" t="s">
        <v>289</v>
      </c>
      <c r="B28" s="141"/>
      <c r="C28" s="141"/>
      <c r="D28" s="141"/>
      <c r="E28" s="141"/>
      <c r="F28" s="141"/>
      <c r="G28" s="141"/>
      <c r="H28" s="141"/>
    </row>
    <row r="29" spans="1:8">
      <c r="A29" s="150" t="s">
        <v>290</v>
      </c>
      <c r="B29" s="141" t="s">
        <v>258</v>
      </c>
      <c r="C29" s="141" t="s">
        <v>543</v>
      </c>
      <c r="D29" s="141"/>
      <c r="E29" s="141"/>
      <c r="F29" s="141"/>
      <c r="G29" s="141"/>
      <c r="H29" s="141"/>
    </row>
    <row r="30" spans="1:8" ht="27">
      <c r="A30" s="150" t="s">
        <v>291</v>
      </c>
      <c r="B30" s="141" t="s">
        <v>258</v>
      </c>
      <c r="C30" s="144" t="s">
        <v>544</v>
      </c>
      <c r="D30" s="141"/>
      <c r="E30" s="141"/>
      <c r="F30" s="141"/>
      <c r="G30" s="141"/>
      <c r="H30" s="141"/>
    </row>
    <row r="31" spans="1:8">
      <c r="A31" s="150" t="s">
        <v>292</v>
      </c>
      <c r="B31" s="141" t="s">
        <v>258</v>
      </c>
      <c r="C31" s="141" t="s">
        <v>545</v>
      </c>
      <c r="D31" s="141"/>
      <c r="E31" s="141"/>
      <c r="F31" s="141"/>
      <c r="G31" s="141"/>
      <c r="H31" s="141"/>
    </row>
    <row r="32" spans="1:8">
      <c r="A32" s="141"/>
      <c r="B32" s="141"/>
      <c r="C32" s="141"/>
      <c r="D32" s="141"/>
      <c r="E32" s="141"/>
      <c r="F32" s="141"/>
      <c r="G32" s="141"/>
      <c r="H32" s="141"/>
    </row>
    <row r="33" spans="1:8">
      <c r="A33" s="141"/>
      <c r="B33" s="141"/>
      <c r="C33" s="141"/>
      <c r="D33" s="141"/>
      <c r="E33" s="141"/>
      <c r="F33" s="141"/>
      <c r="G33" s="141"/>
      <c r="H33" s="141"/>
    </row>
    <row r="34" spans="1:8">
      <c r="A34" s="141" t="s">
        <v>293</v>
      </c>
      <c r="B34" s="141" t="s">
        <v>258</v>
      </c>
      <c r="C34" s="141" t="s">
        <v>258</v>
      </c>
      <c r="D34" s="141" t="s">
        <v>258</v>
      </c>
      <c r="E34" s="141" t="s">
        <v>258</v>
      </c>
      <c r="F34" s="141" t="s">
        <v>258</v>
      </c>
      <c r="G34" s="141" t="s">
        <v>258</v>
      </c>
      <c r="H34" s="141" t="s">
        <v>258</v>
      </c>
    </row>
    <row r="35" spans="1:8">
      <c r="A35" s="141"/>
      <c r="B35" s="141"/>
      <c r="C35" s="141"/>
      <c r="D35" s="141"/>
      <c r="E35" s="141"/>
      <c r="F35" s="141"/>
      <c r="G35" s="141"/>
      <c r="H35" s="141"/>
    </row>
    <row r="36" spans="1:8">
      <c r="A36" s="141"/>
      <c r="B36" s="141"/>
      <c r="C36" s="141"/>
      <c r="D36" s="141"/>
      <c r="E36" s="141"/>
      <c r="F36" s="141"/>
      <c r="G36" s="141"/>
      <c r="H36" s="141"/>
    </row>
    <row r="37" spans="1:8">
      <c r="A37" s="141"/>
      <c r="B37" s="141"/>
      <c r="C37" s="141"/>
      <c r="D37" s="141"/>
      <c r="E37" s="141"/>
      <c r="F37" s="141"/>
      <c r="G37" s="141"/>
      <c r="H37" s="141"/>
    </row>
    <row r="38" spans="1:8">
      <c r="A38" s="141"/>
      <c r="B38" s="141"/>
      <c r="C38" s="141"/>
      <c r="D38" s="141"/>
      <c r="E38" s="141"/>
      <c r="F38" s="141"/>
      <c r="G38" s="141"/>
      <c r="H38" s="141"/>
    </row>
    <row r="39" spans="1:8">
      <c r="A39" s="141"/>
      <c r="B39" s="141"/>
      <c r="C39" s="141"/>
      <c r="D39" s="141"/>
      <c r="E39" s="141"/>
      <c r="F39" s="141"/>
      <c r="G39" s="141"/>
      <c r="H39" s="141"/>
    </row>
  </sheetData>
  <mergeCells count="1">
    <mergeCell ref="F1:H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B1:O41"/>
  <sheetViews>
    <sheetView workbookViewId="0">
      <selection activeCell="I8" sqref="I8"/>
    </sheetView>
  </sheetViews>
  <sheetFormatPr defaultRowHeight="13.5"/>
  <cols>
    <col min="1" max="1" width="1.875" customWidth="1"/>
    <col min="2" max="2" width="14.5" customWidth="1"/>
    <col min="3" max="3" width="30.25" bestFit="1" customWidth="1"/>
    <col min="4" max="4" width="13.75" customWidth="1"/>
    <col min="5" max="5" width="15" customWidth="1"/>
    <col min="6" max="6" width="18.875" customWidth="1"/>
    <col min="7" max="7" width="3" customWidth="1"/>
    <col min="8" max="8" width="17.25" bestFit="1" customWidth="1"/>
    <col min="9" max="9" width="6.25" style="139" customWidth="1"/>
    <col min="10" max="10" width="9.5" style="139" customWidth="1"/>
    <col min="11" max="11" width="6.375" customWidth="1"/>
    <col min="12" max="12" width="6.5" customWidth="1"/>
    <col min="13" max="13" width="6.375" customWidth="1"/>
  </cols>
  <sheetData>
    <row r="1" spans="2:15" ht="14.25" thickBot="1"/>
    <row r="2" spans="2:15">
      <c r="B2" s="163" t="s">
        <v>110</v>
      </c>
      <c r="C2" s="104" t="s">
        <v>111</v>
      </c>
      <c r="D2" s="105" t="s">
        <v>297</v>
      </c>
      <c r="E2" s="105" t="s">
        <v>112</v>
      </c>
      <c r="F2" s="122" t="s">
        <v>156</v>
      </c>
      <c r="H2" s="289" t="s">
        <v>302</v>
      </c>
      <c r="I2" s="290"/>
      <c r="J2" s="290"/>
      <c r="K2" s="291"/>
      <c r="L2" s="289" t="s">
        <v>307</v>
      </c>
      <c r="M2" s="290"/>
      <c r="N2" s="291"/>
    </row>
    <row r="3" spans="2:15" ht="20.100000000000001" customHeight="1">
      <c r="B3" s="276" t="s">
        <v>27</v>
      </c>
      <c r="C3" s="110" t="s">
        <v>25</v>
      </c>
      <c r="D3" s="206">
        <v>4</v>
      </c>
      <c r="E3" s="111">
        <v>80</v>
      </c>
      <c r="F3" s="219">
        <v>0.25</v>
      </c>
      <c r="H3" s="152" t="s">
        <v>113</v>
      </c>
      <c r="I3" s="156" t="s">
        <v>303</v>
      </c>
      <c r="J3" s="153" t="s">
        <v>304</v>
      </c>
      <c r="K3" s="130" t="s">
        <v>114</v>
      </c>
      <c r="L3" s="164" t="s">
        <v>305</v>
      </c>
      <c r="M3" s="183" t="s">
        <v>306</v>
      </c>
      <c r="N3" s="183" t="s">
        <v>314</v>
      </c>
    </row>
    <row r="4" spans="2:15" ht="20.100000000000001" customHeight="1">
      <c r="B4" s="277"/>
      <c r="C4" s="110" t="s">
        <v>316</v>
      </c>
      <c r="D4" s="206">
        <v>0</v>
      </c>
      <c r="E4" s="111">
        <v>80</v>
      </c>
      <c r="F4" s="219">
        <v>0.25</v>
      </c>
      <c r="H4" s="168" t="s">
        <v>298</v>
      </c>
      <c r="I4" s="292"/>
      <c r="J4" s="293"/>
      <c r="K4" s="294"/>
      <c r="L4" s="300"/>
      <c r="M4" s="280"/>
      <c r="N4" s="155"/>
    </row>
    <row r="5" spans="2:15" ht="20.100000000000001" customHeight="1">
      <c r="B5" s="277"/>
      <c r="C5" s="110" t="s">
        <v>546</v>
      </c>
      <c r="D5" s="207">
        <v>0</v>
      </c>
      <c r="E5" s="111">
        <v>80</v>
      </c>
      <c r="F5" s="123">
        <v>0.25</v>
      </c>
      <c r="H5" s="157" t="s">
        <v>137</v>
      </c>
      <c r="I5" s="158">
        <f>SUM(D3,D4,D6,D7,D8,D9,D10,D11,D12,D13,D21,D23)*1024</f>
        <v>12288</v>
      </c>
      <c r="J5" s="158">
        <f xml:space="preserve"> SUM(D3,D4,D6,D7,D8,D9,D10,D11,D12,D13,D23)*1024*0.25 + D21*1024*0.5</f>
        <v>4096</v>
      </c>
      <c r="K5" s="159">
        <f>(D3*E3*(1+F3)+D4*E4*(1+F4)+D6*E6*(1+F6)+D7*E7*(1+F7)+D8*E8*(1+F8)+D9*E9*(1+F9)+D11*E11*(1+F11)+D12*E12*(1+F12)+D13*E13*(1+F13)+D21*E21*(1+F21)+D23*80*(1+F23)+D10*E10*(1+F10))*1024/80</f>
        <v>16384</v>
      </c>
      <c r="L5" s="169">
        <f xml:space="preserve"> Resource!F4</f>
        <v>49152</v>
      </c>
      <c r="M5" s="184">
        <f xml:space="preserve"> SUM(Resource!F94:F99)</f>
        <v>8192</v>
      </c>
      <c r="N5" s="155">
        <f>L5+M5-K5</f>
        <v>40960</v>
      </c>
    </row>
    <row r="6" spans="2:15" ht="20.100000000000001" customHeight="1">
      <c r="B6" s="277"/>
      <c r="C6" s="110" t="s">
        <v>115</v>
      </c>
      <c r="D6" s="206">
        <v>0</v>
      </c>
      <c r="E6" s="111">
        <v>80</v>
      </c>
      <c r="F6" s="219">
        <v>0.25</v>
      </c>
      <c r="H6" s="157" t="s">
        <v>161</v>
      </c>
      <c r="I6" s="158">
        <f xml:space="preserve"> D5*1024*E5/80 + D15*1024*E15/80</f>
        <v>4096</v>
      </c>
      <c r="J6" s="158">
        <f xml:space="preserve"> D5*1024*E5*F5/80 + D15*1024*E15*F15/80</f>
        <v>1024</v>
      </c>
      <c r="K6" s="159">
        <f>D5*E5*(1+F5)*1024/80+D15*E15*(1+F15)*1024/80</f>
        <v>5120</v>
      </c>
      <c r="L6" s="169">
        <f xml:space="preserve"> Resource!F12</f>
        <v>32768</v>
      </c>
      <c r="M6" s="184"/>
      <c r="N6" s="155">
        <f t="shared" ref="N6:N24" si="0">L6+M6-K6</f>
        <v>27648</v>
      </c>
    </row>
    <row r="7" spans="2:15" ht="20.100000000000001" customHeight="1">
      <c r="B7" s="277"/>
      <c r="C7" s="110" t="s">
        <v>117</v>
      </c>
      <c r="D7" s="206">
        <v>0</v>
      </c>
      <c r="E7" s="111">
        <v>80</v>
      </c>
      <c r="F7" s="219">
        <v>0.25</v>
      </c>
      <c r="H7" s="157" t="s">
        <v>145</v>
      </c>
      <c r="I7" s="158">
        <f xml:space="preserve"> D17*1024*E17/80</f>
        <v>36864</v>
      </c>
      <c r="J7" s="158">
        <f xml:space="preserve"> D17*1024*E17*F17/80</f>
        <v>9216</v>
      </c>
      <c r="K7" s="159">
        <f>D17*E17*(1+F17)*1024/80</f>
        <v>46080</v>
      </c>
      <c r="L7" s="169">
        <f xml:space="preserve"> Resource!F32</f>
        <v>0</v>
      </c>
      <c r="M7" s="184"/>
      <c r="N7" s="155">
        <f t="shared" si="0"/>
        <v>-46080</v>
      </c>
    </row>
    <row r="8" spans="2:15" ht="20.100000000000001" customHeight="1">
      <c r="B8" s="277"/>
      <c r="C8" s="110" t="s">
        <v>116</v>
      </c>
      <c r="D8" s="206">
        <v>0</v>
      </c>
      <c r="E8" s="111">
        <v>80</v>
      </c>
      <c r="F8" s="219">
        <v>0.25</v>
      </c>
      <c r="H8" s="157" t="s">
        <v>162</v>
      </c>
      <c r="I8" s="158">
        <f>D18*1024*E18/80+D28*1024*E28/80+D22*1024*E22/80+D20*E20*1024/80</f>
        <v>60416</v>
      </c>
      <c r="J8" s="158">
        <f>D18*1024*E18*F18/80+8*1024+D20*E20*1024*F20/80</f>
        <v>10496</v>
      </c>
      <c r="K8" s="159">
        <f>((D18*E18*1024*(1+F18)+D20*E20*1024*(1+F20)+(D22*E22+8*E22)*1024))/80</f>
        <v>68864</v>
      </c>
      <c r="L8" s="169">
        <f xml:space="preserve"> Resource!F24</f>
        <v>65536</v>
      </c>
      <c r="M8" s="184"/>
      <c r="N8" s="155">
        <f t="shared" si="0"/>
        <v>-3328</v>
      </c>
      <c r="O8" s="171" t="s">
        <v>547</v>
      </c>
    </row>
    <row r="9" spans="2:15" ht="20.100000000000001" customHeight="1">
      <c r="B9" s="277"/>
      <c r="C9" s="110" t="s">
        <v>26</v>
      </c>
      <c r="D9" s="206">
        <v>0</v>
      </c>
      <c r="E9" s="111">
        <v>80</v>
      </c>
      <c r="F9" s="219">
        <v>0.25</v>
      </c>
      <c r="H9" s="157" t="s">
        <v>148</v>
      </c>
      <c r="I9" s="158">
        <f xml:space="preserve"> D14*1024*E14/80 + D20*1024*E20/80 + D28*1024*E28/80</f>
        <v>3072</v>
      </c>
      <c r="J9" s="158">
        <f xml:space="preserve"> D14*1024*E14*F14/80 + D20*1024*E20*F20/80 + D28*1024*E28*F28/80</f>
        <v>256</v>
      </c>
      <c r="K9" s="159">
        <f>(D14*E14*(1+F14)/80+D20*E20*(1+F20)/80)*1024</f>
        <v>1280</v>
      </c>
      <c r="L9" s="169">
        <f xml:space="preserve"> Resource!F30</f>
        <v>8192</v>
      </c>
      <c r="M9" s="184"/>
      <c r="N9" s="155">
        <f t="shared" si="0"/>
        <v>6912</v>
      </c>
    </row>
    <row r="10" spans="2:15" ht="20.100000000000001" customHeight="1">
      <c r="B10" s="278"/>
      <c r="C10" s="110" t="s">
        <v>176</v>
      </c>
      <c r="D10" s="206">
        <v>0</v>
      </c>
      <c r="E10" s="111">
        <v>80</v>
      </c>
      <c r="F10" s="219">
        <v>0.25</v>
      </c>
      <c r="H10" s="157" t="s">
        <v>149</v>
      </c>
      <c r="I10" s="158">
        <f xml:space="preserve"> D24*1024*E24/80</f>
        <v>16384</v>
      </c>
      <c r="J10" s="158">
        <f xml:space="preserve"> D24*1024*E24*F24/80</f>
        <v>0</v>
      </c>
      <c r="K10" s="159">
        <f>D24*E24*(1+F24)/80*1024</f>
        <v>16384</v>
      </c>
      <c r="L10" s="169">
        <f xml:space="preserve"> 8192</f>
        <v>8192</v>
      </c>
      <c r="M10" s="184"/>
      <c r="N10" s="155">
        <f t="shared" si="0"/>
        <v>-8192</v>
      </c>
    </row>
    <row r="11" spans="2:15" ht="20.100000000000001" customHeight="1">
      <c r="B11" s="285" t="s">
        <v>130</v>
      </c>
      <c r="C11" s="106" t="s">
        <v>37</v>
      </c>
      <c r="D11" s="206">
        <v>3</v>
      </c>
      <c r="E11" s="107">
        <v>80</v>
      </c>
      <c r="F11" s="220">
        <v>0.25</v>
      </c>
      <c r="H11" s="157" t="s">
        <v>150</v>
      </c>
      <c r="I11" s="158">
        <f xml:space="preserve"> D19*1024</f>
        <v>12288</v>
      </c>
      <c r="J11" s="158">
        <f xml:space="preserve"> D19*1024*F19</f>
        <v>12288</v>
      </c>
      <c r="K11" s="159">
        <f>D19*80*(1+F19)/80*1024</f>
        <v>24576</v>
      </c>
      <c r="L11" s="169">
        <f>Resource!F33</f>
        <v>0</v>
      </c>
      <c r="M11" s="184">
        <f>SUM(Resource!F117:F118)</f>
        <v>2048</v>
      </c>
      <c r="N11" s="155">
        <f t="shared" si="0"/>
        <v>-22528</v>
      </c>
    </row>
    <row r="12" spans="2:15" ht="20.100000000000001" customHeight="1">
      <c r="B12" s="287"/>
      <c r="C12" s="106" t="s">
        <v>38</v>
      </c>
      <c r="D12" s="206">
        <v>0</v>
      </c>
      <c r="E12" s="107">
        <v>80</v>
      </c>
      <c r="F12" s="220">
        <v>0.25</v>
      </c>
      <c r="H12" s="168" t="s">
        <v>299</v>
      </c>
      <c r="I12" s="295"/>
      <c r="J12" s="296"/>
      <c r="K12" s="297"/>
      <c r="L12" s="300"/>
      <c r="M12" s="280"/>
      <c r="N12" s="155"/>
    </row>
    <row r="13" spans="2:15" ht="20.100000000000001" customHeight="1">
      <c r="B13" s="287"/>
      <c r="C13" s="106" t="s">
        <v>45</v>
      </c>
      <c r="D13" s="206">
        <v>0</v>
      </c>
      <c r="E13" s="107">
        <v>80</v>
      </c>
      <c r="F13" s="220">
        <v>0.25</v>
      </c>
      <c r="H13" s="160" t="s">
        <v>169</v>
      </c>
      <c r="I13" s="161"/>
      <c r="J13" s="161"/>
      <c r="K13" s="162">
        <f>(D22/4+SUM(D27,D28,D29))*1024</f>
        <v>18432</v>
      </c>
      <c r="L13" s="170">
        <f xml:space="preserve"> Resource!F57</f>
        <v>131072</v>
      </c>
      <c r="M13" s="184"/>
      <c r="N13" s="155">
        <f t="shared" si="0"/>
        <v>112640</v>
      </c>
    </row>
    <row r="14" spans="2:15" ht="20.100000000000001" customHeight="1">
      <c r="B14" s="288"/>
      <c r="C14" s="106" t="s">
        <v>147</v>
      </c>
      <c r="D14" s="210">
        <v>0</v>
      </c>
      <c r="E14" s="107">
        <v>80</v>
      </c>
      <c r="F14" s="223">
        <v>0.25</v>
      </c>
      <c r="H14" s="160" t="s">
        <v>168</v>
      </c>
      <c r="I14" s="161"/>
      <c r="J14" s="161"/>
      <c r="K14" s="162">
        <f>(SUM(D3,D4,D6,D7,D8,D9,D11,D12,D13,D21,D23)*2)*1024+512*2+28*2</f>
        <v>25656</v>
      </c>
      <c r="L14" s="170">
        <f>Resource!F49</f>
        <v>65536</v>
      </c>
      <c r="M14" s="184"/>
      <c r="N14" s="155">
        <f t="shared" si="0"/>
        <v>39880</v>
      </c>
      <c r="O14" s="171" t="s">
        <v>548</v>
      </c>
    </row>
    <row r="15" spans="2:15" ht="20.100000000000001" customHeight="1">
      <c r="B15" s="114" t="s">
        <v>131</v>
      </c>
      <c r="C15" s="108" t="s">
        <v>131</v>
      </c>
      <c r="D15" s="208">
        <v>2</v>
      </c>
      <c r="E15" s="109">
        <v>160</v>
      </c>
      <c r="F15" s="224">
        <v>0.25</v>
      </c>
      <c r="H15" s="160" t="s">
        <v>171</v>
      </c>
      <c r="I15" s="161"/>
      <c r="J15" s="161"/>
      <c r="K15" s="162">
        <f>SUM(D17)*1024</f>
        <v>18432</v>
      </c>
      <c r="L15" s="170">
        <f xml:space="preserve"> Resource!F63</f>
        <v>0</v>
      </c>
      <c r="M15" s="184"/>
      <c r="N15" s="155">
        <f t="shared" si="0"/>
        <v>-18432</v>
      </c>
    </row>
    <row r="16" spans="2:15" ht="20.100000000000001" customHeight="1">
      <c r="B16" s="276" t="s">
        <v>91</v>
      </c>
      <c r="C16" s="110" t="s">
        <v>125</v>
      </c>
      <c r="D16" s="110">
        <v>9</v>
      </c>
      <c r="E16" s="111">
        <v>80</v>
      </c>
      <c r="F16" s="103">
        <v>0</v>
      </c>
      <c r="H16" s="160" t="s">
        <v>173</v>
      </c>
      <c r="I16" s="161"/>
      <c r="J16" s="161"/>
      <c r="K16" s="162">
        <f>D24*2*1024</f>
        <v>16384</v>
      </c>
      <c r="L16" s="169">
        <f xml:space="preserve"> 8192</f>
        <v>8192</v>
      </c>
      <c r="M16" s="184"/>
      <c r="N16" s="155">
        <f t="shared" si="0"/>
        <v>-8192</v>
      </c>
    </row>
    <row r="17" spans="2:14" ht="20.100000000000001" customHeight="1">
      <c r="B17" s="278"/>
      <c r="C17" s="110" t="s">
        <v>140</v>
      </c>
      <c r="D17" s="209">
        <v>18</v>
      </c>
      <c r="E17" s="111">
        <v>160</v>
      </c>
      <c r="F17" s="221">
        <v>0.25</v>
      </c>
      <c r="H17" s="160" t="s">
        <v>174</v>
      </c>
      <c r="I17" s="161"/>
      <c r="J17" s="161"/>
      <c r="K17" s="162">
        <f>(SUM(D18,D20)+(D19*1/2))*1024 + D14*1024</f>
        <v>15360</v>
      </c>
      <c r="L17" s="170">
        <f>Resource!F63</f>
        <v>0</v>
      </c>
      <c r="M17" s="184"/>
      <c r="N17" s="155">
        <f t="shared" si="0"/>
        <v>-15360</v>
      </c>
    </row>
    <row r="18" spans="2:14" ht="20.100000000000001" customHeight="1">
      <c r="B18" s="285" t="s">
        <v>143</v>
      </c>
      <c r="C18" s="106" t="s">
        <v>22</v>
      </c>
      <c r="D18" s="204">
        <v>8</v>
      </c>
      <c r="E18" s="107">
        <v>80</v>
      </c>
      <c r="F18" s="223">
        <v>0.25</v>
      </c>
      <c r="H18" s="160" t="s">
        <v>153</v>
      </c>
      <c r="I18" s="161"/>
      <c r="J18" s="161"/>
      <c r="K18" s="200">
        <f xml:space="preserve"> D26*2*1024</f>
        <v>0</v>
      </c>
      <c r="L18" s="201">
        <v>0</v>
      </c>
      <c r="M18" s="184"/>
      <c r="N18" s="155">
        <f t="shared" si="0"/>
        <v>0</v>
      </c>
    </row>
    <row r="19" spans="2:14" ht="20.100000000000001" customHeight="1">
      <c r="B19" s="286"/>
      <c r="C19" s="106" t="s">
        <v>128</v>
      </c>
      <c r="D19" s="218">
        <v>12</v>
      </c>
      <c r="E19" s="107" t="s">
        <v>129</v>
      </c>
      <c r="F19" s="223">
        <v>1</v>
      </c>
      <c r="H19" s="160" t="s">
        <v>154</v>
      </c>
      <c r="I19" s="161"/>
      <c r="J19" s="161"/>
      <c r="K19" s="162">
        <f>D15/4*4*1024</f>
        <v>2048</v>
      </c>
      <c r="L19" s="298">
        <f>Resource!F48</f>
        <v>0</v>
      </c>
      <c r="M19" s="184"/>
      <c r="N19" s="155">
        <f t="shared" si="0"/>
        <v>-2048</v>
      </c>
    </row>
    <row r="20" spans="2:14" ht="20.100000000000001" customHeight="1">
      <c r="B20" s="114" t="s">
        <v>23</v>
      </c>
      <c r="C20" s="108" t="s">
        <v>23</v>
      </c>
      <c r="D20" s="204">
        <v>1</v>
      </c>
      <c r="E20" s="211">
        <v>80</v>
      </c>
      <c r="F20" s="223">
        <v>0.25</v>
      </c>
      <c r="H20" s="160" t="s">
        <v>294</v>
      </c>
      <c r="I20" s="161"/>
      <c r="J20" s="161"/>
      <c r="K20" s="162">
        <f>D15*2*2*1024</f>
        <v>8192</v>
      </c>
      <c r="L20" s="298"/>
      <c r="M20" s="184"/>
      <c r="N20" s="155">
        <f t="shared" si="0"/>
        <v>-8192</v>
      </c>
    </row>
    <row r="21" spans="2:14" ht="20.100000000000001" customHeight="1">
      <c r="B21" s="113" t="s">
        <v>6</v>
      </c>
      <c r="C21" s="110" t="s">
        <v>132</v>
      </c>
      <c r="D21" s="206">
        <v>4</v>
      </c>
      <c r="E21" s="111">
        <v>80</v>
      </c>
      <c r="F21" s="220">
        <v>0.5</v>
      </c>
      <c r="H21" s="160" t="s">
        <v>295</v>
      </c>
      <c r="I21" s="161"/>
      <c r="J21" s="161"/>
      <c r="K21" s="162">
        <f>K20/4</f>
        <v>2048</v>
      </c>
      <c r="L21" s="298"/>
      <c r="M21" s="184"/>
      <c r="N21" s="155">
        <f t="shared" si="0"/>
        <v>-2048</v>
      </c>
    </row>
    <row r="22" spans="2:14" ht="20.100000000000001" customHeight="1">
      <c r="B22" s="112" t="s">
        <v>133</v>
      </c>
      <c r="C22" s="106" t="s">
        <v>134</v>
      </c>
      <c r="D22" s="204">
        <v>48</v>
      </c>
      <c r="E22" s="106">
        <v>80</v>
      </c>
      <c r="F22" s="214">
        <v>0.25</v>
      </c>
      <c r="H22" s="160" t="s">
        <v>296</v>
      </c>
      <c r="I22" s="161"/>
      <c r="J22" s="161"/>
      <c r="K22" s="162">
        <f>K20/2</f>
        <v>4096</v>
      </c>
      <c r="L22" s="299"/>
      <c r="M22" s="184"/>
      <c r="N22" s="155">
        <f t="shared" si="0"/>
        <v>-4096</v>
      </c>
    </row>
    <row r="23" spans="2:14" ht="20.100000000000001" customHeight="1">
      <c r="B23" s="114" t="s">
        <v>65</v>
      </c>
      <c r="C23" s="108" t="s">
        <v>65</v>
      </c>
      <c r="D23" s="206">
        <v>1</v>
      </c>
      <c r="E23" s="109">
        <v>80</v>
      </c>
      <c r="F23" s="220">
        <v>0.25</v>
      </c>
      <c r="H23" s="152" t="s">
        <v>300</v>
      </c>
      <c r="I23" s="279"/>
      <c r="J23" s="280"/>
      <c r="K23" s="281"/>
      <c r="L23" s="154"/>
      <c r="M23" s="184"/>
      <c r="N23" s="155"/>
    </row>
    <row r="24" spans="2:14" ht="20.100000000000001" customHeight="1" thickBot="1">
      <c r="B24" s="115" t="s">
        <v>135</v>
      </c>
      <c r="C24" s="116" t="s">
        <v>136</v>
      </c>
      <c r="D24" s="213">
        <v>8</v>
      </c>
      <c r="E24" s="117">
        <v>160</v>
      </c>
      <c r="F24" s="222">
        <v>0</v>
      </c>
      <c r="H24" s="165" t="s">
        <v>141</v>
      </c>
      <c r="I24" s="166"/>
      <c r="J24" s="166"/>
      <c r="K24" s="167">
        <f>D16*E16/80*1024</f>
        <v>9216</v>
      </c>
      <c r="L24" s="151">
        <f>Resource!F94</f>
        <v>1024</v>
      </c>
      <c r="M24" s="185">
        <f xml:space="preserve"> SUM(Resource!F100:F106)</f>
        <v>4096</v>
      </c>
      <c r="N24" s="155">
        <f t="shared" si="0"/>
        <v>-4096</v>
      </c>
    </row>
    <row r="25" spans="2:14" ht="14.25" thickBot="1">
      <c r="D25" s="139"/>
      <c r="F25" s="38"/>
    </row>
    <row r="26" spans="2:14">
      <c r="B26" s="118" t="s">
        <v>144</v>
      </c>
      <c r="C26" s="119" t="s">
        <v>144</v>
      </c>
      <c r="D26" s="119">
        <v>0</v>
      </c>
      <c r="E26" s="124">
        <v>160</v>
      </c>
      <c r="F26" s="127">
        <v>0</v>
      </c>
      <c r="H26" s="171"/>
    </row>
    <row r="27" spans="2:14" ht="20.100000000000001" customHeight="1">
      <c r="B27" s="282" t="s">
        <v>155</v>
      </c>
      <c r="C27" s="44" t="s">
        <v>152</v>
      </c>
      <c r="D27" s="215">
        <v>4</v>
      </c>
      <c r="E27" s="125">
        <v>80</v>
      </c>
      <c r="F27" s="214">
        <v>0</v>
      </c>
    </row>
    <row r="28" spans="2:14" ht="20.100000000000001" customHeight="1">
      <c r="B28" s="283"/>
      <c r="C28" s="120" t="s">
        <v>58</v>
      </c>
      <c r="D28" s="205">
        <v>2</v>
      </c>
      <c r="E28" s="212">
        <v>80</v>
      </c>
      <c r="F28" s="217">
        <v>0</v>
      </c>
    </row>
    <row r="29" spans="2:14" ht="20.100000000000001" customHeight="1" thickBot="1">
      <c r="B29" s="284"/>
      <c r="C29" s="121" t="s">
        <v>151</v>
      </c>
      <c r="D29" s="216">
        <v>0</v>
      </c>
      <c r="E29" s="126">
        <v>80</v>
      </c>
      <c r="F29" s="214">
        <v>0</v>
      </c>
    </row>
    <row r="30" spans="2:14" ht="20.100000000000001" customHeight="1">
      <c r="C30" s="38"/>
    </row>
    <row r="31" spans="2:14">
      <c r="C31" s="38"/>
    </row>
    <row r="32" spans="2:14">
      <c r="C32" s="38"/>
    </row>
    <row r="33" spans="3:3">
      <c r="C33" s="38"/>
    </row>
    <row r="34" spans="3:3">
      <c r="C34" s="38"/>
    </row>
    <row r="35" spans="3:3">
      <c r="C35" s="38"/>
    </row>
    <row r="36" spans="3:3">
      <c r="C36" s="38"/>
    </row>
    <row r="37" spans="3:3">
      <c r="C37" s="38"/>
    </row>
    <row r="38" spans="3:3">
      <c r="C38" s="38"/>
    </row>
    <row r="39" spans="3:3">
      <c r="C39" s="38"/>
    </row>
    <row r="40" spans="3:3">
      <c r="C40" s="38"/>
    </row>
    <row r="41" spans="3:3">
      <c r="C41" s="38"/>
    </row>
  </sheetData>
  <mergeCells count="13">
    <mergeCell ref="H2:K2"/>
    <mergeCell ref="I4:K4"/>
    <mergeCell ref="I12:K12"/>
    <mergeCell ref="L2:N2"/>
    <mergeCell ref="L19:L22"/>
    <mergeCell ref="L4:M4"/>
    <mergeCell ref="L12:M12"/>
    <mergeCell ref="B3:B10"/>
    <mergeCell ref="I23:K23"/>
    <mergeCell ref="B27:B29"/>
    <mergeCell ref="B18:B19"/>
    <mergeCell ref="B16:B17"/>
    <mergeCell ref="B11:B14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0"/>
  <dimension ref="A1:AH210"/>
  <sheetViews>
    <sheetView tabSelected="1" topLeftCell="A130" zoomScale="115" zoomScaleNormal="115" workbookViewId="0">
      <selection activeCell="I157" sqref="I157"/>
    </sheetView>
  </sheetViews>
  <sheetFormatPr defaultRowHeight="13.5"/>
  <cols>
    <col min="1" max="1" width="13.125" customWidth="1"/>
    <col min="2" max="2" width="33.875" style="128" bestFit="1" customWidth="1"/>
    <col min="3" max="3" width="11.875" style="38" customWidth="1"/>
    <col min="4" max="4" width="8.5" style="129" customWidth="1"/>
    <col min="5" max="5" width="15.5" style="129" customWidth="1"/>
    <col min="6" max="6" width="11.5" style="129" customWidth="1"/>
    <col min="7" max="7" width="7.625" style="171" hidden="1" customWidth="1"/>
    <col min="8" max="8" width="7.875" style="171" customWidth="1"/>
    <col min="9" max="9" width="33.875" style="171" bestFit="1" customWidth="1"/>
    <col min="10" max="10" width="8.625" bestFit="1" customWidth="1"/>
    <col min="11" max="11" width="8.625" style="171" customWidth="1"/>
    <col min="12" max="12" width="9.625" customWidth="1"/>
    <col min="13" max="13" width="9.625" style="171" customWidth="1"/>
    <col min="14" max="14" width="7.75" style="129" customWidth="1"/>
    <col min="15" max="15" width="15.625" bestFit="1" customWidth="1"/>
    <col min="16" max="16" width="10.125" customWidth="1"/>
    <col min="17" max="17" width="5.875" customWidth="1"/>
    <col min="18" max="18" width="5.25" hidden="1" customWidth="1"/>
    <col min="19" max="19" width="9" hidden="1" customWidth="1"/>
    <col min="20" max="20" width="4.75" hidden="1" customWidth="1"/>
    <col min="21" max="21" width="9" style="171" hidden="1" customWidth="1"/>
    <col min="22" max="22" width="9.625" style="171" hidden="1" customWidth="1"/>
    <col min="23" max="23" width="9" style="171" hidden="1" customWidth="1"/>
    <col min="24" max="24" width="15.625" style="171" bestFit="1" customWidth="1"/>
    <col min="25" max="25" width="14.5" bestFit="1" customWidth="1"/>
    <col min="27" max="27" width="17.125" customWidth="1"/>
    <col min="28" max="28" width="15" bestFit="1" customWidth="1"/>
    <col min="29" max="29" width="36.125" bestFit="1" customWidth="1"/>
    <col min="30" max="30" width="16.125" bestFit="1" customWidth="1"/>
    <col min="31" max="31" width="9" customWidth="1"/>
    <col min="32" max="32" width="7" bestFit="1" customWidth="1"/>
    <col min="35" max="35" width="4.875" customWidth="1"/>
  </cols>
  <sheetData>
    <row r="1" spans="1:34" ht="27.75" customHeight="1">
      <c r="B1" s="227" t="s">
        <v>570</v>
      </c>
      <c r="C1" s="129" t="s">
        <v>165</v>
      </c>
      <c r="E1" s="227" t="s">
        <v>607</v>
      </c>
      <c r="F1" s="129">
        <v>0</v>
      </c>
    </row>
    <row r="2" spans="1:34" ht="40.5">
      <c r="AA2" s="253" t="s">
        <v>633</v>
      </c>
      <c r="AB2" s="190" t="s">
        <v>602</v>
      </c>
      <c r="AC2" s="190" t="s">
        <v>603</v>
      </c>
      <c r="AD2" s="190" t="s">
        <v>604</v>
      </c>
    </row>
    <row r="3" spans="1:34">
      <c r="B3" s="186" t="s">
        <v>159</v>
      </c>
      <c r="C3" s="186" t="s">
        <v>166</v>
      </c>
      <c r="D3" s="233" t="s">
        <v>160</v>
      </c>
      <c r="E3" s="233" t="s">
        <v>164</v>
      </c>
      <c r="F3" s="233" t="s">
        <v>163</v>
      </c>
      <c r="G3" s="191"/>
      <c r="H3" s="202"/>
      <c r="I3" s="191"/>
      <c r="X3" s="249" t="s">
        <v>330</v>
      </c>
      <c r="Y3" s="190">
        <v>0</v>
      </c>
      <c r="Z3" s="190">
        <v>16384</v>
      </c>
      <c r="AA3" s="79">
        <v>2</v>
      </c>
      <c r="AB3" s="252">
        <v>0</v>
      </c>
      <c r="AC3" s="190" t="s">
        <v>549</v>
      </c>
      <c r="AD3" s="190">
        <v>0</v>
      </c>
      <c r="AG3" s="190">
        <v>0</v>
      </c>
      <c r="AH3" s="190">
        <f xml:space="preserve"> 24*1024</f>
        <v>24576</v>
      </c>
    </row>
    <row r="4" spans="1:34">
      <c r="A4" s="313" t="s">
        <v>575</v>
      </c>
      <c r="B4" s="320" t="s">
        <v>572</v>
      </c>
      <c r="C4" s="244">
        <v>2</v>
      </c>
      <c r="D4" s="258" t="s">
        <v>165</v>
      </c>
      <c r="E4" s="244">
        <f>IF(D4="yes",LOOKUP(C4,$Y$3:$Y$32,$Z$3:$Z$32)*IF($C$1="yes",LOOKUP(C4,$Y$3:$Y$32,$AA$3:$AA$32),1),0)</f>
        <v>32768</v>
      </c>
      <c r="F4" s="320">
        <f>SUM(E4:E8)</f>
        <v>49152</v>
      </c>
      <c r="G4" s="187">
        <f xml:space="preserve"> IF(D4 = "yes", C4, -1)</f>
        <v>2</v>
      </c>
      <c r="H4" s="260"/>
      <c r="I4" s="187"/>
      <c r="X4" s="249" t="s">
        <v>331</v>
      </c>
      <c r="Y4" s="190">
        <v>1</v>
      </c>
      <c r="Z4" s="190">
        <v>16384</v>
      </c>
      <c r="AA4" s="79">
        <v>2</v>
      </c>
      <c r="AB4" s="252">
        <v>1</v>
      </c>
      <c r="AC4" s="190" t="s">
        <v>550</v>
      </c>
      <c r="AD4" s="203">
        <v>0</v>
      </c>
      <c r="AE4" s="171"/>
    </row>
    <row r="5" spans="1:34">
      <c r="A5" s="313"/>
      <c r="B5" s="320"/>
      <c r="C5" s="244">
        <v>6</v>
      </c>
      <c r="D5" s="258" t="s">
        <v>165</v>
      </c>
      <c r="E5" s="244">
        <f>IF(D5="yes",LOOKUP(C5,$Y$3:$Y$32,$Z$3:$Z$32)*IF($C$1="yes",LOOKUP(C5,$Y$3:$Y$32,$AA$3:$AA$32),1),0)</f>
        <v>8192</v>
      </c>
      <c r="F5" s="320"/>
      <c r="G5" s="260">
        <f t="shared" ref="G5:G68" si="0" xml:space="preserve"> IF(D5 = "yes", C5, -1)</f>
        <v>6</v>
      </c>
      <c r="H5" s="260"/>
      <c r="I5" s="187"/>
      <c r="X5" s="249" t="s">
        <v>332</v>
      </c>
      <c r="Y5" s="190">
        <v>2</v>
      </c>
      <c r="Z5" s="190">
        <v>16384</v>
      </c>
      <c r="AA5" s="79">
        <v>2</v>
      </c>
      <c r="AB5" s="252">
        <v>2</v>
      </c>
      <c r="AC5" s="190" t="s">
        <v>551</v>
      </c>
      <c r="AD5" s="203">
        <v>1</v>
      </c>
      <c r="AE5" s="171"/>
    </row>
    <row r="6" spans="1:34">
      <c r="A6" s="313"/>
      <c r="B6" s="320"/>
      <c r="C6" s="244">
        <v>7</v>
      </c>
      <c r="D6" s="258" t="s">
        <v>165</v>
      </c>
      <c r="E6" s="244">
        <f>IF(D6="yes",LOOKUP(C6,$Y$3:$Y$32,$Z$3:$Z$32)*IF($C$1="yes",LOOKUP(C6,$Y$3:$Y$32,$AA$3:$AA$32),1),0)</f>
        <v>8192</v>
      </c>
      <c r="F6" s="320"/>
      <c r="G6" s="260">
        <f t="shared" si="0"/>
        <v>7</v>
      </c>
      <c r="H6" s="260"/>
      <c r="I6" s="187"/>
      <c r="X6" s="249" t="s">
        <v>333</v>
      </c>
      <c r="Y6" s="190">
        <v>3</v>
      </c>
      <c r="Z6" s="190">
        <v>8192</v>
      </c>
      <c r="AA6" s="79">
        <v>2</v>
      </c>
      <c r="AB6" s="252">
        <v>3</v>
      </c>
      <c r="AC6" s="190" t="s">
        <v>552</v>
      </c>
      <c r="AD6" s="203">
        <v>1</v>
      </c>
    </row>
    <row r="7" spans="1:34" s="171" customFormat="1">
      <c r="A7" s="313"/>
      <c r="B7" s="320"/>
      <c r="C7" s="244">
        <v>8</v>
      </c>
      <c r="D7" s="258" t="s">
        <v>167</v>
      </c>
      <c r="E7" s="244">
        <f>IF(D7="yes",LOOKUP(C7,$Y$3:$Y$32,$Z$3:$Z$32)*IF($C$1="yes",LOOKUP(C7,$Y$3:$Y$32,$AA$3:$AA$32),1),0)</f>
        <v>0</v>
      </c>
      <c r="F7" s="320"/>
      <c r="G7" s="260">
        <f t="shared" si="0"/>
        <v>-1</v>
      </c>
      <c r="H7" s="260"/>
      <c r="I7" s="187"/>
      <c r="N7" s="129"/>
      <c r="X7" s="249" t="s">
        <v>334</v>
      </c>
      <c r="Y7" s="190">
        <v>4</v>
      </c>
      <c r="Z7" s="190">
        <v>8192</v>
      </c>
      <c r="AA7" s="79">
        <v>2</v>
      </c>
      <c r="AB7" s="252">
        <v>4</v>
      </c>
      <c r="AC7" s="190" t="s">
        <v>553</v>
      </c>
      <c r="AD7" s="203"/>
    </row>
    <row r="8" spans="1:34">
      <c r="A8" s="313"/>
      <c r="B8" s="320"/>
      <c r="C8" s="244">
        <v>9</v>
      </c>
      <c r="D8" s="258" t="s">
        <v>167</v>
      </c>
      <c r="E8" s="244">
        <f>IF(D8="yes",LOOKUP(C8,$Y$3:$Y$32,$Z$3:$Z$32)*IF($C$1="yes",LOOKUP(C8,$Y$3:$Y$32,$AA$3:$AA$32),1),0)</f>
        <v>0</v>
      </c>
      <c r="F8" s="320"/>
      <c r="G8" s="260">
        <f t="shared" si="0"/>
        <v>-1</v>
      </c>
      <c r="H8" s="260"/>
      <c r="I8" s="187"/>
      <c r="X8" s="249" t="s">
        <v>335</v>
      </c>
      <c r="Y8" s="190">
        <v>5</v>
      </c>
      <c r="Z8" s="190">
        <v>4096</v>
      </c>
      <c r="AA8" s="79">
        <v>2</v>
      </c>
      <c r="AB8" s="252">
        <v>5</v>
      </c>
      <c r="AC8" s="190" t="s">
        <v>554</v>
      </c>
      <c r="AD8" s="203"/>
    </row>
    <row r="9" spans="1:34">
      <c r="A9" s="313"/>
      <c r="B9" s="322" t="s">
        <v>656</v>
      </c>
      <c r="C9" s="246">
        <v>5</v>
      </c>
      <c r="D9" s="255" t="s">
        <v>167</v>
      </c>
      <c r="E9" s="246">
        <f>IF(D9="yes",LOOKUP(C9,$Y$3:$Y$32,$Z$3:$Z$32)*IF($C$1="yes",LOOKUP(C9,$Y$3:$Y$32,$AA$3:$AA$32),1),0)</f>
        <v>0</v>
      </c>
      <c r="F9" s="322">
        <f>SUM(E9:E11)</f>
        <v>16384</v>
      </c>
      <c r="G9" s="260">
        <f t="shared" si="0"/>
        <v>-1</v>
      </c>
      <c r="H9" s="260"/>
      <c r="I9" s="187"/>
      <c r="X9" s="251" t="s">
        <v>336</v>
      </c>
      <c r="Y9" s="190">
        <v>6</v>
      </c>
      <c r="Z9" s="190">
        <v>8192</v>
      </c>
      <c r="AA9" s="398">
        <v>1</v>
      </c>
      <c r="AB9" s="252">
        <v>6</v>
      </c>
      <c r="AC9" s="190" t="s">
        <v>555</v>
      </c>
      <c r="AD9" s="203">
        <v>0</v>
      </c>
    </row>
    <row r="10" spans="1:34">
      <c r="A10" s="313"/>
      <c r="B10" s="322"/>
      <c r="C10" s="246">
        <v>8</v>
      </c>
      <c r="D10" s="257" t="s">
        <v>165</v>
      </c>
      <c r="E10" s="246">
        <f>IF(D10="yes",LOOKUP(C10,$Y$3:$Y$32,$Z$3:$Z$32)*IF($C$1="yes",LOOKUP(C10,$Y$3:$Y$32,$AA$3:$AA$32),1),0)</f>
        <v>8192</v>
      </c>
      <c r="F10" s="322"/>
      <c r="G10" s="260">
        <f t="shared" si="0"/>
        <v>8</v>
      </c>
      <c r="H10" s="260"/>
      <c r="I10" s="187"/>
      <c r="X10" s="251" t="s">
        <v>337</v>
      </c>
      <c r="Y10" s="190">
        <v>7</v>
      </c>
      <c r="Z10" s="190">
        <v>8192</v>
      </c>
      <c r="AA10" s="398">
        <v>1</v>
      </c>
      <c r="AB10" s="252">
        <v>7</v>
      </c>
      <c r="AC10" s="190" t="s">
        <v>556</v>
      </c>
      <c r="AD10" s="203"/>
    </row>
    <row r="11" spans="1:34">
      <c r="A11" s="313"/>
      <c r="B11" s="322"/>
      <c r="C11" s="257">
        <v>9</v>
      </c>
      <c r="D11" s="257" t="s">
        <v>165</v>
      </c>
      <c r="E11" s="246">
        <f>IF(D11="yes",LOOKUP(C11,$Y$3:$Y$32,$Z$3:$Z$32)*IF($C$1="yes",LOOKUP(C11,$Y$3:$Y$32,$AA$3:$AA$32),1),0)</f>
        <v>8192</v>
      </c>
      <c r="F11" s="322"/>
      <c r="G11" s="260">
        <f t="shared" si="0"/>
        <v>9</v>
      </c>
      <c r="H11" s="260"/>
      <c r="I11" s="187"/>
      <c r="X11" s="251" t="s">
        <v>338</v>
      </c>
      <c r="Y11" s="190">
        <v>8</v>
      </c>
      <c r="Z11" s="190">
        <v>8192</v>
      </c>
      <c r="AA11" s="398">
        <v>1</v>
      </c>
      <c r="AB11" s="252">
        <v>8</v>
      </c>
      <c r="AC11" s="190" t="s">
        <v>557</v>
      </c>
      <c r="AD11" s="203">
        <v>1</v>
      </c>
    </row>
    <row r="12" spans="1:34">
      <c r="A12" s="313"/>
      <c r="B12" s="320" t="s">
        <v>573</v>
      </c>
      <c r="C12" s="244">
        <v>3</v>
      </c>
      <c r="D12" s="244" t="s">
        <v>165</v>
      </c>
      <c r="E12" s="244">
        <f>IF(D12="yes",LOOKUP(C12,$Y$3:$Y$32,$Z$3:$Z$32)*IF($C$1="yes",LOOKUP(C12,$Y$3:$Y$32,$AA$3:$AA$32),1),0)</f>
        <v>16384</v>
      </c>
      <c r="F12" s="320">
        <f>SUM(E12:E13)</f>
        <v>32768</v>
      </c>
      <c r="G12" s="260">
        <f t="shared" si="0"/>
        <v>3</v>
      </c>
      <c r="H12" s="260"/>
      <c r="I12" s="187"/>
      <c r="X12" s="251" t="s">
        <v>339</v>
      </c>
      <c r="Y12" s="190">
        <v>9</v>
      </c>
      <c r="Z12" s="190">
        <v>8192</v>
      </c>
      <c r="AA12" s="398">
        <v>1</v>
      </c>
      <c r="AB12" s="252">
        <v>9</v>
      </c>
      <c r="AC12" s="190" t="s">
        <v>558</v>
      </c>
      <c r="AD12" s="203">
        <v>1</v>
      </c>
    </row>
    <row r="13" spans="1:34">
      <c r="A13" s="313"/>
      <c r="B13" s="320"/>
      <c r="C13" s="244">
        <v>4</v>
      </c>
      <c r="D13" s="244" t="s">
        <v>610</v>
      </c>
      <c r="E13" s="244">
        <f>IF(D13="yes",LOOKUP(C13,$Y$3:$Y$32,$Z$3:$Z$32)*IF($C$1="yes",LOOKUP(C13,$Y$3:$Y$32,$AA$3:$AA$32),1),0)</f>
        <v>16384</v>
      </c>
      <c r="F13" s="320"/>
      <c r="G13" s="260">
        <f t="shared" si="0"/>
        <v>4</v>
      </c>
      <c r="H13" s="260"/>
      <c r="I13" s="187"/>
      <c r="X13" s="251" t="s">
        <v>340</v>
      </c>
      <c r="Y13" s="190">
        <v>10</v>
      </c>
      <c r="Z13" s="190">
        <v>8192</v>
      </c>
      <c r="AA13" s="398">
        <v>1</v>
      </c>
      <c r="AB13" s="252">
        <v>10</v>
      </c>
      <c r="AC13" s="190" t="s">
        <v>559</v>
      </c>
      <c r="AD13" s="203">
        <v>1</v>
      </c>
    </row>
    <row r="14" spans="1:34">
      <c r="A14" s="313"/>
      <c r="B14" s="322" t="s">
        <v>657</v>
      </c>
      <c r="C14" s="246">
        <v>0</v>
      </c>
      <c r="D14" s="257" t="s">
        <v>167</v>
      </c>
      <c r="E14" s="246">
        <f>IF(D14="yes",LOOKUP(C14,$Y$3:$Y$32,$Z$3:$Z$32)*IF($C$1="yes",LOOKUP(C14,$Y$3:$Y$32,$AA$3:$AA$32),1),0)</f>
        <v>0</v>
      </c>
      <c r="F14" s="322">
        <f>SUM(E14:E23)</f>
        <v>262144</v>
      </c>
      <c r="G14" s="260">
        <f t="shared" si="0"/>
        <v>-1</v>
      </c>
      <c r="H14" s="260"/>
      <c r="I14" s="187"/>
      <c r="X14" s="250" t="s">
        <v>341</v>
      </c>
      <c r="Y14" s="190">
        <v>11</v>
      </c>
      <c r="Z14" s="190">
        <v>16384</v>
      </c>
      <c r="AA14" s="79">
        <v>2</v>
      </c>
      <c r="AB14" s="252">
        <v>11</v>
      </c>
      <c r="AC14" s="190" t="s">
        <v>560</v>
      </c>
      <c r="AD14" s="203"/>
    </row>
    <row r="15" spans="1:34" s="171" customFormat="1">
      <c r="A15" s="313"/>
      <c r="B15" s="322"/>
      <c r="C15" s="246">
        <v>1</v>
      </c>
      <c r="D15" s="246" t="s">
        <v>167</v>
      </c>
      <c r="E15" s="246">
        <f>IF(D15="yes",LOOKUP(C15,$Y$3:$Y$32,$Z$3:$Z$32)*IF($C$1="yes",LOOKUP(C15,$Y$3:$Y$32,$AA$3:$AA$32),1),0)</f>
        <v>0</v>
      </c>
      <c r="F15" s="322"/>
      <c r="G15" s="260">
        <f t="shared" si="0"/>
        <v>-1</v>
      </c>
      <c r="H15" s="260"/>
      <c r="I15" s="187"/>
      <c r="N15" s="129"/>
      <c r="X15" s="250" t="s">
        <v>342</v>
      </c>
      <c r="Y15" s="190">
        <v>12</v>
      </c>
      <c r="Z15" s="190">
        <v>8192</v>
      </c>
      <c r="AA15" s="79">
        <v>2</v>
      </c>
      <c r="AB15" s="252">
        <v>12</v>
      </c>
      <c r="AC15" s="190" t="s">
        <v>561</v>
      </c>
      <c r="AD15" s="203">
        <v>1</v>
      </c>
    </row>
    <row r="16" spans="1:34">
      <c r="A16" s="313"/>
      <c r="B16" s="322"/>
      <c r="C16" s="246">
        <v>2</v>
      </c>
      <c r="D16" s="257" t="s">
        <v>167</v>
      </c>
      <c r="E16" s="246">
        <f>IF(D16="yes",LOOKUP(C16,$Y$3:$Y$32,$Z$3:$Z$32)*IF($C$1="yes",LOOKUP(C16,$Y$3:$Y$32,$AA$3:$AA$32),1),0)</f>
        <v>0</v>
      </c>
      <c r="F16" s="322"/>
      <c r="G16" s="260">
        <f t="shared" si="0"/>
        <v>-1</v>
      </c>
      <c r="H16" s="260"/>
      <c r="I16" s="187"/>
      <c r="X16" s="250" t="s">
        <v>343</v>
      </c>
      <c r="Y16" s="190">
        <v>13</v>
      </c>
      <c r="Z16" s="190">
        <v>8192</v>
      </c>
      <c r="AA16" s="79">
        <v>2</v>
      </c>
      <c r="AB16" s="252">
        <v>13</v>
      </c>
      <c r="AC16" s="190" t="s">
        <v>562</v>
      </c>
      <c r="AD16" s="203"/>
    </row>
    <row r="17" spans="1:30">
      <c r="A17" s="313"/>
      <c r="B17" s="322"/>
      <c r="C17" s="246">
        <v>3</v>
      </c>
      <c r="D17" s="246" t="s">
        <v>167</v>
      </c>
      <c r="E17" s="246">
        <f>IF(D17="yes",LOOKUP(C17,$Y$3:$Y$32,$Z$3:$Z$32)*IF($C$1="yes",LOOKUP(C17,$Y$3:$Y$32,$AA$3:$AA$32),1),0)</f>
        <v>0</v>
      </c>
      <c r="F17" s="322"/>
      <c r="G17" s="260">
        <f t="shared" si="0"/>
        <v>-1</v>
      </c>
      <c r="H17" s="260"/>
      <c r="I17" s="187"/>
      <c r="X17" s="250" t="s">
        <v>344</v>
      </c>
      <c r="Y17" s="190">
        <v>14</v>
      </c>
      <c r="Z17" s="190">
        <v>16384</v>
      </c>
      <c r="AA17" s="79">
        <v>2</v>
      </c>
      <c r="AB17" s="252">
        <v>14</v>
      </c>
      <c r="AC17" s="190" t="s">
        <v>563</v>
      </c>
      <c r="AD17" s="203">
        <v>1</v>
      </c>
    </row>
    <row r="18" spans="1:30">
      <c r="A18" s="313"/>
      <c r="B18" s="322"/>
      <c r="C18" s="246">
        <v>4</v>
      </c>
      <c r="D18" s="246" t="s">
        <v>167</v>
      </c>
      <c r="E18" s="246">
        <f>IF(D18="yes",LOOKUP(C18,$Y$3:$Y$32,$Z$3:$Z$32)*IF($C$1="yes",LOOKUP(C18,$Y$3:$Y$32,$AA$3:$AA$32),1),0)</f>
        <v>0</v>
      </c>
      <c r="F18" s="322"/>
      <c r="G18" s="260">
        <f t="shared" si="0"/>
        <v>-1</v>
      </c>
      <c r="H18" s="260"/>
      <c r="I18" s="187"/>
      <c r="X18" s="250" t="s">
        <v>345</v>
      </c>
      <c r="Y18" s="190">
        <v>15</v>
      </c>
      <c r="Z18" s="190">
        <v>8192</v>
      </c>
      <c r="AA18" s="79">
        <v>2</v>
      </c>
      <c r="AB18" s="252">
        <v>15</v>
      </c>
      <c r="AC18" s="190" t="s">
        <v>564</v>
      </c>
      <c r="AD18" s="203"/>
    </row>
    <row r="19" spans="1:30" s="171" customFormat="1">
      <c r="A19" s="313"/>
      <c r="B19" s="322"/>
      <c r="C19" s="246">
        <v>5</v>
      </c>
      <c r="D19" s="246" t="s">
        <v>167</v>
      </c>
      <c r="E19" s="246">
        <f>IF(D19="yes",LOOKUP(C19,$Y$3:$Y$32,$Z$3:$Z$32)*IF($C$1="yes",LOOKUP(C19,$Y$3:$Y$32,$AA$3:$AA$32),1),0)</f>
        <v>0</v>
      </c>
      <c r="F19" s="322"/>
      <c r="G19" s="260">
        <f t="shared" si="0"/>
        <v>-1</v>
      </c>
      <c r="H19" s="260"/>
      <c r="I19" s="187"/>
      <c r="N19" s="129"/>
      <c r="X19" s="250" t="s">
        <v>619</v>
      </c>
      <c r="Y19" s="190">
        <v>16</v>
      </c>
      <c r="Z19" s="190">
        <v>8192</v>
      </c>
      <c r="AA19" s="79">
        <v>2</v>
      </c>
      <c r="AB19" s="252">
        <v>16</v>
      </c>
      <c r="AC19" s="190" t="s">
        <v>565</v>
      </c>
      <c r="AD19" s="203"/>
    </row>
    <row r="20" spans="1:30" s="171" customFormat="1">
      <c r="A20" s="313"/>
      <c r="B20" s="322"/>
      <c r="C20" s="246">
        <v>23</v>
      </c>
      <c r="D20" s="246" t="s">
        <v>165</v>
      </c>
      <c r="E20" s="246">
        <f>IF(D20="yes",LOOKUP(C20,$Y$3:$Y$32,$Z$3:$Z$32)*IF($C$1="yes",LOOKUP(C20,$Y$3:$Y$32,$AA$3:$AA$32),1),0)</f>
        <v>65536</v>
      </c>
      <c r="F20" s="322"/>
      <c r="G20" s="260">
        <f t="shared" si="0"/>
        <v>23</v>
      </c>
      <c r="H20" s="260"/>
      <c r="I20" s="187"/>
      <c r="N20" s="129"/>
      <c r="X20" s="190" t="s">
        <v>620</v>
      </c>
      <c r="Y20" s="190">
        <v>17</v>
      </c>
      <c r="Z20" s="190">
        <v>32768</v>
      </c>
      <c r="AA20" s="398">
        <v>1</v>
      </c>
      <c r="AB20" s="252">
        <v>17</v>
      </c>
      <c r="AC20" s="190" t="s">
        <v>566</v>
      </c>
      <c r="AD20" s="203"/>
    </row>
    <row r="21" spans="1:30">
      <c r="A21" s="313"/>
      <c r="B21" s="322"/>
      <c r="C21" s="246">
        <v>24</v>
      </c>
      <c r="D21" s="246" t="s">
        <v>165</v>
      </c>
      <c r="E21" s="246">
        <f>IF(D21="yes",LOOKUP(C21,$Y$3:$Y$32,$Z$3:$Z$32)*IF($C$1="yes",LOOKUP(C21,$Y$3:$Y$32,$AA$3:$AA$32),1),0)</f>
        <v>65536</v>
      </c>
      <c r="F21" s="322"/>
      <c r="G21" s="260">
        <f t="shared" si="0"/>
        <v>24</v>
      </c>
      <c r="H21" s="260"/>
      <c r="I21" s="187"/>
      <c r="X21" s="190" t="s">
        <v>621</v>
      </c>
      <c r="Y21" s="190">
        <v>18</v>
      </c>
      <c r="Z21" s="190">
        <v>8192</v>
      </c>
      <c r="AA21" s="79">
        <v>2</v>
      </c>
      <c r="AB21" s="252">
        <v>18</v>
      </c>
      <c r="AC21" s="190" t="s">
        <v>567</v>
      </c>
      <c r="AD21" s="203"/>
    </row>
    <row r="22" spans="1:30">
      <c r="A22" s="313"/>
      <c r="B22" s="322"/>
      <c r="C22" s="246">
        <v>25</v>
      </c>
      <c r="D22" s="246" t="s">
        <v>165</v>
      </c>
      <c r="E22" s="246">
        <f>IF(D22="yes",LOOKUP(C22,$Y$3:$Y$32,$Z$3:$Z$32)*IF($C$1="yes",LOOKUP(C22,$Y$3:$Y$32,$AA$3:$AA$32),1),0)</f>
        <v>65536</v>
      </c>
      <c r="F22" s="322"/>
      <c r="G22" s="260">
        <f t="shared" si="0"/>
        <v>25</v>
      </c>
      <c r="H22" s="260"/>
      <c r="I22" s="187"/>
      <c r="X22" s="190" t="s">
        <v>622</v>
      </c>
      <c r="Y22" s="190">
        <v>19</v>
      </c>
      <c r="Z22" s="190">
        <v>8192</v>
      </c>
      <c r="AA22" s="79">
        <v>2</v>
      </c>
      <c r="AB22" s="252">
        <v>19</v>
      </c>
      <c r="AC22" s="190" t="s">
        <v>568</v>
      </c>
      <c r="AD22" s="203"/>
    </row>
    <row r="23" spans="1:30">
      <c r="A23" s="313"/>
      <c r="B23" s="322"/>
      <c r="C23" s="246">
        <v>26</v>
      </c>
      <c r="D23" s="246" t="s">
        <v>165</v>
      </c>
      <c r="E23" s="246">
        <f>IF(D23="yes",LOOKUP(C23,$Y$3:$Y$32,$Z$3:$Z$32)*IF($C$1="yes",LOOKUP(C23,$Y$3:$Y$32,$AA$3:$AA$32),1),0)</f>
        <v>65536</v>
      </c>
      <c r="F23" s="322"/>
      <c r="G23" s="260">
        <f t="shared" si="0"/>
        <v>26</v>
      </c>
      <c r="H23" s="260"/>
      <c r="I23" s="187"/>
      <c r="L23" s="38"/>
      <c r="M23" s="129"/>
      <c r="X23" s="190" t="s">
        <v>623</v>
      </c>
      <c r="Y23" s="190">
        <v>20</v>
      </c>
      <c r="Z23" s="190">
        <v>4096</v>
      </c>
      <c r="AA23" s="79">
        <v>2</v>
      </c>
      <c r="AB23" s="252">
        <v>20</v>
      </c>
      <c r="AC23" s="190" t="s">
        <v>569</v>
      </c>
      <c r="AD23" s="203"/>
    </row>
    <row r="24" spans="1:30">
      <c r="A24" s="313"/>
      <c r="B24" s="321" t="s">
        <v>162</v>
      </c>
      <c r="C24" s="39">
        <v>0</v>
      </c>
      <c r="D24" s="256" t="s">
        <v>165</v>
      </c>
      <c r="E24" s="244">
        <f>IF(D24="yes",LOOKUP(C24,$Y$3:$Y$32,$Z$3:$Z$32)*IF($C$1="yes",LOOKUP(C24,$Y$3:$Y$32,$AA$3:$AA$32),1),0)</f>
        <v>32768</v>
      </c>
      <c r="F24" s="321">
        <f>SUM(E24:E29)</f>
        <v>65536</v>
      </c>
      <c r="G24" s="260">
        <f t="shared" si="0"/>
        <v>0</v>
      </c>
      <c r="H24" s="260"/>
      <c r="I24" s="187"/>
      <c r="X24" s="190" t="s">
        <v>624</v>
      </c>
      <c r="Y24" s="190">
        <v>21</v>
      </c>
      <c r="Z24" s="190">
        <v>4096</v>
      </c>
      <c r="AA24" s="79">
        <v>2</v>
      </c>
    </row>
    <row r="25" spans="1:30">
      <c r="A25" s="313"/>
      <c r="B25" s="321"/>
      <c r="C25" s="39">
        <v>1</v>
      </c>
      <c r="D25" s="39" t="s">
        <v>165</v>
      </c>
      <c r="E25" s="244">
        <f>IF(D25="yes",LOOKUP(C25,$Y$3:$Y$32,$Z$3:$Z$32)*IF($C$1="yes",LOOKUP(C25,$Y$3:$Y$32,$AA$3:$AA$32),1),0)</f>
        <v>32768</v>
      </c>
      <c r="F25" s="321"/>
      <c r="G25" s="260">
        <f t="shared" si="0"/>
        <v>1</v>
      </c>
      <c r="H25" s="260"/>
      <c r="I25" s="187"/>
      <c r="X25" s="190" t="s">
        <v>625</v>
      </c>
      <c r="Y25" s="190">
        <v>22</v>
      </c>
      <c r="Z25" s="190">
        <v>4096</v>
      </c>
      <c r="AA25" s="79">
        <v>2</v>
      </c>
    </row>
    <row r="26" spans="1:30">
      <c r="A26" s="313"/>
      <c r="B26" s="321"/>
      <c r="C26" s="39">
        <v>2</v>
      </c>
      <c r="D26" s="39" t="s">
        <v>167</v>
      </c>
      <c r="E26" s="244">
        <f>IF(D26="yes",LOOKUP(C26,$Y$3:$Y$32,$Z$3:$Z$32)*IF($C$1="yes",LOOKUP(C26,$Y$3:$Y$32,$AA$3:$AA$32),1),0)</f>
        <v>0</v>
      </c>
      <c r="F26" s="321"/>
      <c r="G26" s="260">
        <f t="shared" si="0"/>
        <v>-1</v>
      </c>
      <c r="H26" s="260"/>
      <c r="I26" s="187"/>
      <c r="X26" s="249" t="s">
        <v>626</v>
      </c>
      <c r="Y26" s="190">
        <v>23</v>
      </c>
      <c r="Z26" s="190">
        <v>32768</v>
      </c>
      <c r="AA26" s="79">
        <v>2</v>
      </c>
    </row>
    <row r="27" spans="1:30" s="171" customFormat="1">
      <c r="A27" s="313"/>
      <c r="B27" s="321"/>
      <c r="C27" s="39">
        <v>3</v>
      </c>
      <c r="D27" s="39" t="s">
        <v>167</v>
      </c>
      <c r="E27" s="244">
        <f>IF(D27="yes",LOOKUP(C27,$Y$3:$Y$32,$Z$3:$Z$32)*IF($C$1="yes",LOOKUP(C27,$Y$3:$Y$32,$AA$3:$AA$32),1),0)</f>
        <v>0</v>
      </c>
      <c r="F27" s="321"/>
      <c r="G27" s="260">
        <f t="shared" si="0"/>
        <v>-1</v>
      </c>
      <c r="H27" s="260"/>
      <c r="I27" s="187"/>
      <c r="N27" s="129"/>
      <c r="X27" s="249" t="s">
        <v>627</v>
      </c>
      <c r="Y27" s="190">
        <v>24</v>
      </c>
      <c r="Z27" s="190">
        <v>32768</v>
      </c>
      <c r="AA27" s="79">
        <v>2</v>
      </c>
    </row>
    <row r="28" spans="1:30">
      <c r="A28" s="313"/>
      <c r="B28" s="321"/>
      <c r="C28" s="39">
        <v>4</v>
      </c>
      <c r="D28" s="39" t="s">
        <v>167</v>
      </c>
      <c r="E28" s="244">
        <f>IF(D28="yes",LOOKUP(C28,$Y$3:$Y$32,$Z$3:$Z$32)*IF($C$1="yes",LOOKUP(C28,$Y$3:$Y$32,$AA$3:$AA$32),1),0)</f>
        <v>0</v>
      </c>
      <c r="F28" s="321"/>
      <c r="G28" s="260">
        <f t="shared" si="0"/>
        <v>-1</v>
      </c>
      <c r="H28" s="260"/>
      <c r="I28" s="187"/>
      <c r="X28" s="249" t="s">
        <v>628</v>
      </c>
      <c r="Y28" s="190">
        <v>25</v>
      </c>
      <c r="Z28" s="190">
        <v>32768</v>
      </c>
      <c r="AA28" s="79">
        <v>2</v>
      </c>
    </row>
    <row r="29" spans="1:30" s="171" customFormat="1">
      <c r="A29" s="313"/>
      <c r="B29" s="321"/>
      <c r="C29" s="39">
        <v>5</v>
      </c>
      <c r="D29" s="256" t="s">
        <v>662</v>
      </c>
      <c r="E29" s="244">
        <f>IF(D29="yes",LOOKUP(C29,$Y$3:$Y$32,$Z$3:$Z$32)*IF($C$1="yes",LOOKUP(C29,$Y$3:$Y$32,$AA$3:$AA$32),1),0)</f>
        <v>0</v>
      </c>
      <c r="F29" s="321"/>
      <c r="G29" s="260">
        <f t="shared" si="0"/>
        <v>-1</v>
      </c>
      <c r="H29" s="260"/>
      <c r="I29" s="238"/>
      <c r="N29" s="129"/>
      <c r="X29" s="249" t="s">
        <v>629</v>
      </c>
      <c r="Y29" s="190">
        <v>26</v>
      </c>
      <c r="Z29" s="190">
        <v>32768</v>
      </c>
      <c r="AA29" s="79">
        <v>2</v>
      </c>
    </row>
    <row r="30" spans="1:30">
      <c r="A30" s="313"/>
      <c r="B30" s="322" t="s">
        <v>630</v>
      </c>
      <c r="C30" s="246">
        <v>9</v>
      </c>
      <c r="D30" s="246" t="s">
        <v>167</v>
      </c>
      <c r="E30" s="246">
        <f>IF(D30="yes",LOOKUP(C30,$Y$3:$Y$32,$Z$3:$Z$32)*IF($C$1="yes",LOOKUP(C30,$Y$3:$Y$32,$AA$3:$AA$32),1),0)</f>
        <v>0</v>
      </c>
      <c r="F30" s="322">
        <f>SUM(E30:E31)</f>
        <v>8192</v>
      </c>
      <c r="G30" s="260">
        <f t="shared" si="0"/>
        <v>-1</v>
      </c>
      <c r="H30" s="260"/>
      <c r="I30" s="187"/>
      <c r="X30" s="250" t="s">
        <v>665</v>
      </c>
      <c r="Y30" s="190">
        <v>27</v>
      </c>
      <c r="Z30" s="190">
        <v>32768</v>
      </c>
      <c r="AA30" s="79">
        <v>2</v>
      </c>
    </row>
    <row r="31" spans="1:30">
      <c r="A31" s="313"/>
      <c r="B31" s="322"/>
      <c r="C31" s="246">
        <v>10</v>
      </c>
      <c r="D31" s="246" t="s">
        <v>165</v>
      </c>
      <c r="E31" s="246">
        <f>IF(D31="yes",LOOKUP(C31,$Y$3:$Y$32,$Z$3:$Z$32)*IF($C$1="yes",LOOKUP(C31,$Y$3:$Y$32,$AA$3:$AA$32),1),0)</f>
        <v>8192</v>
      </c>
      <c r="F31" s="322"/>
      <c r="G31" s="260">
        <f t="shared" si="0"/>
        <v>10</v>
      </c>
      <c r="H31" s="260"/>
      <c r="I31" s="187"/>
      <c r="X31" s="250" t="s">
        <v>664</v>
      </c>
      <c r="Y31" s="190">
        <v>28</v>
      </c>
      <c r="Z31" s="190">
        <v>32768</v>
      </c>
      <c r="AA31" s="79">
        <v>2</v>
      </c>
    </row>
    <row r="32" spans="1:30">
      <c r="A32" s="313"/>
      <c r="B32" s="39" t="s">
        <v>329</v>
      </c>
      <c r="C32" s="39">
        <v>0</v>
      </c>
      <c r="D32" s="256" t="s">
        <v>167</v>
      </c>
      <c r="E32" s="244">
        <f>IF(D32="yes",LOOKUP(C32,$Y$3:$Y$32,$Z$3:$Z$32)*IF($C$1="yes",LOOKUP(C32,$Y$3:$Y$32,$AA$3:$AA$32),1),0)</f>
        <v>0</v>
      </c>
      <c r="F32" s="39">
        <f>SUM(E32:E32)</f>
        <v>0</v>
      </c>
      <c r="G32" s="260">
        <f t="shared" si="0"/>
        <v>-1</v>
      </c>
      <c r="H32" s="260"/>
      <c r="I32" s="188"/>
      <c r="X32" s="190" t="s">
        <v>663</v>
      </c>
      <c r="Y32" s="190">
        <v>29</v>
      </c>
      <c r="Z32" s="190">
        <v>32768</v>
      </c>
      <c r="AA32" s="79">
        <v>2</v>
      </c>
    </row>
    <row r="33" spans="1:27" s="139" customFormat="1">
      <c r="A33" s="313"/>
      <c r="B33" s="307" t="s">
        <v>660</v>
      </c>
      <c r="C33" s="248">
        <v>1</v>
      </c>
      <c r="D33" s="248" t="s">
        <v>167</v>
      </c>
      <c r="E33" s="248">
        <f>IF(D33="yes",LOOKUP(C33,$Y$3:$Y$32,$Z$3:$Z$32)*IF($C$1="yes",LOOKUP(C33,$Y$3:$Y$32,$AA$3:$AA$32),1),0)</f>
        <v>0</v>
      </c>
      <c r="F33" s="307">
        <f>SUM(E33:E39)</f>
        <v>0</v>
      </c>
      <c r="G33" s="260">
        <f t="shared" si="0"/>
        <v>-1</v>
      </c>
      <c r="H33" s="260"/>
      <c r="I33" s="187"/>
      <c r="K33" s="171"/>
      <c r="M33" s="171"/>
      <c r="X33" s="171"/>
      <c r="Y33" s="171"/>
      <c r="Z33" s="171"/>
      <c r="AA33"/>
    </row>
    <row r="34" spans="1:27">
      <c r="A34" s="313"/>
      <c r="B34" s="308"/>
      <c r="C34" s="248">
        <v>3</v>
      </c>
      <c r="D34" s="248" t="s">
        <v>167</v>
      </c>
      <c r="E34" s="248">
        <f>IF(D34="yes",LOOKUP(C34,$Y$3:$Y$32,$Z$3:$Z$32)*IF($C$1="yes",LOOKUP(C34,$Y$3:$Y$32,$AA$3:$AA$32),1),0)</f>
        <v>0</v>
      </c>
      <c r="F34" s="308"/>
      <c r="G34" s="260">
        <f t="shared" si="0"/>
        <v>-1</v>
      </c>
      <c r="H34" s="260"/>
      <c r="I34" s="187"/>
      <c r="X34" s="139"/>
      <c r="Y34" s="139"/>
      <c r="Z34" s="139"/>
    </row>
    <row r="35" spans="1:27" s="171" customFormat="1">
      <c r="A35" s="313"/>
      <c r="B35" s="308"/>
      <c r="C35" s="248">
        <v>4</v>
      </c>
      <c r="D35" s="248" t="s">
        <v>167</v>
      </c>
      <c r="E35" s="248">
        <f>IF(D35="yes",LOOKUP(C35,$Y$3:$Y$32,$Z$3:$Z$32)*IF($C$1="yes",LOOKUP(C35,$Y$3:$Y$32,$AA$3:$AA$32),1),0)</f>
        <v>0</v>
      </c>
      <c r="F35" s="308"/>
      <c r="G35" s="260">
        <f t="shared" si="0"/>
        <v>-1</v>
      </c>
      <c r="H35" s="260"/>
      <c r="I35" s="187"/>
      <c r="N35" s="129"/>
      <c r="Y35"/>
      <c r="Z35"/>
    </row>
    <row r="36" spans="1:27" s="171" customFormat="1">
      <c r="A36" s="313"/>
      <c r="B36" s="308"/>
      <c r="C36" s="248">
        <v>6</v>
      </c>
      <c r="D36" s="257" t="s">
        <v>167</v>
      </c>
      <c r="E36" s="248">
        <f>IF(D36="yes",LOOKUP(C36,$Y$3:$Y$32,$Z$3:$Z$32)*IF($C$1="yes",LOOKUP(C36,$Y$3:$Y$32,$AA$3:$AA$32),1),0)</f>
        <v>0</v>
      </c>
      <c r="F36" s="308"/>
      <c r="G36" s="260">
        <f t="shared" si="0"/>
        <v>-1</v>
      </c>
      <c r="H36" s="260"/>
      <c r="I36" s="187"/>
      <c r="N36" s="129"/>
    </row>
    <row r="37" spans="1:27">
      <c r="A37" s="313"/>
      <c r="B37" s="308"/>
      <c r="C37" s="248">
        <v>7</v>
      </c>
      <c r="D37" s="248" t="s">
        <v>167</v>
      </c>
      <c r="E37" s="248">
        <f>IF(D37="yes",LOOKUP(C37,$Y$3:$Y$32,$Z$3:$Z$32)*IF($C$1="yes",LOOKUP(C37,$Y$3:$Y$32,$AA$3:$AA$32),1),0)</f>
        <v>0</v>
      </c>
      <c r="F37" s="308"/>
      <c r="G37" s="260">
        <f t="shared" si="0"/>
        <v>-1</v>
      </c>
      <c r="H37" s="260"/>
      <c r="I37" s="187"/>
      <c r="Y37" s="171"/>
      <c r="Z37" s="171"/>
    </row>
    <row r="38" spans="1:27">
      <c r="A38" s="313"/>
      <c r="B38" s="308"/>
      <c r="C38" s="248">
        <v>8</v>
      </c>
      <c r="D38" s="248" t="s">
        <v>167</v>
      </c>
      <c r="E38" s="248">
        <f>IF(D38="yes",LOOKUP(C38,$Y$3:$Y$32,$Z$3:$Z$32)*IF($C$1="yes",LOOKUP(C38,$Y$3:$Y$32,$AA$3:$AA$32),1),0)</f>
        <v>0</v>
      </c>
      <c r="F38" s="308"/>
      <c r="G38" s="260">
        <f t="shared" si="0"/>
        <v>-1</v>
      </c>
      <c r="H38" s="260"/>
      <c r="I38" s="187"/>
    </row>
    <row r="39" spans="1:27">
      <c r="A39" s="313"/>
      <c r="B39" s="309"/>
      <c r="C39" s="248">
        <v>10</v>
      </c>
      <c r="D39" s="257" t="s">
        <v>167</v>
      </c>
      <c r="E39" s="248">
        <f>IF(D39="yes",LOOKUP(C39,$Y$3:$Y$32,$Z$3:$Z$32)*IF($C$1="yes",LOOKUP(C39,$Y$3:$Y$32,$AA$3:$AA$32),1),0)</f>
        <v>0</v>
      </c>
      <c r="F39" s="309"/>
      <c r="G39" s="260">
        <f t="shared" si="0"/>
        <v>-1</v>
      </c>
      <c r="H39" s="260"/>
      <c r="I39" s="187"/>
    </row>
    <row r="40" spans="1:27" s="171" customFormat="1">
      <c r="A40" s="313"/>
      <c r="B40" s="304" t="s">
        <v>659</v>
      </c>
      <c r="C40" s="254">
        <v>0</v>
      </c>
      <c r="D40" s="254" t="s">
        <v>167</v>
      </c>
      <c r="E40" s="254">
        <f>IF(D40="yes",LOOKUP(C40,$Y$3:$Y$32,$Z$3:$Z$32)*IF($C$1="yes",LOOKUP(C40,$Y$3:$Y$32,$AA$3:$AA$32),1),0)</f>
        <v>0</v>
      </c>
      <c r="F40" s="310">
        <f>SUM(E40:E47)</f>
        <v>0</v>
      </c>
      <c r="G40" s="260">
        <f t="shared" si="0"/>
        <v>-1</v>
      </c>
      <c r="H40" s="260"/>
      <c r="I40" s="187"/>
      <c r="N40" s="129"/>
      <c r="Y40"/>
      <c r="Z40"/>
    </row>
    <row r="41" spans="1:27">
      <c r="A41" s="313"/>
      <c r="B41" s="305"/>
      <c r="C41" s="254">
        <v>1</v>
      </c>
      <c r="D41" s="254" t="s">
        <v>167</v>
      </c>
      <c r="E41" s="254">
        <f>IF(D41="yes",LOOKUP(C41,$Y$3:$Y$32,$Z$3:$Z$32)*IF($C$1="yes",LOOKUP(C41,$Y$3:$Y$32,$AA$3:$AA$32),1),0)</f>
        <v>0</v>
      </c>
      <c r="F41" s="311"/>
      <c r="G41" s="260">
        <f t="shared" si="0"/>
        <v>-1</v>
      </c>
      <c r="H41" s="260"/>
      <c r="I41" s="187"/>
      <c r="Y41" s="171"/>
      <c r="Z41" s="171"/>
    </row>
    <row r="42" spans="1:27">
      <c r="A42" s="313"/>
      <c r="B42" s="305"/>
      <c r="C42" s="254">
        <v>3</v>
      </c>
      <c r="D42" s="254" t="s">
        <v>167</v>
      </c>
      <c r="E42" s="254">
        <f>IF(D42="yes",LOOKUP(C42,$Y$3:$Y$32,$Z$3:$Z$32)*IF($C$1="yes",LOOKUP(C42,$Y$3:$Y$32,$AA$3:$AA$32),1),0)</f>
        <v>0</v>
      </c>
      <c r="F42" s="311"/>
      <c r="G42" s="260">
        <f t="shared" si="0"/>
        <v>-1</v>
      </c>
      <c r="H42" s="260"/>
      <c r="I42" s="187"/>
    </row>
    <row r="43" spans="1:27" s="171" customFormat="1">
      <c r="A43" s="313"/>
      <c r="B43" s="305"/>
      <c r="C43" s="254">
        <v>4</v>
      </c>
      <c r="D43" s="254" t="s">
        <v>167</v>
      </c>
      <c r="E43" s="254">
        <f>IF(D43="yes",LOOKUP(C43,$Y$3:$Y$32,$Z$3:$Z$32)*IF($C$1="yes",LOOKUP(C43,$Y$3:$Y$32,$AA$3:$AA$32),1),0)</f>
        <v>0</v>
      </c>
      <c r="F43" s="311"/>
      <c r="G43" s="260">
        <f t="shared" si="0"/>
        <v>-1</v>
      </c>
      <c r="H43" s="260"/>
      <c r="I43" s="187"/>
      <c r="N43" s="129"/>
      <c r="Y43"/>
      <c r="Z43"/>
    </row>
    <row r="44" spans="1:27">
      <c r="A44" s="313"/>
      <c r="B44" s="305"/>
      <c r="C44" s="254">
        <v>6</v>
      </c>
      <c r="D44" s="254" t="s">
        <v>167</v>
      </c>
      <c r="E44" s="254">
        <f>IF(D44="yes",LOOKUP(C44,$Y$3:$Y$32,$Z$3:$Z$32)*IF($C$1="yes",LOOKUP(C44,$Y$3:$Y$32,$AA$3:$AA$32),1),0)</f>
        <v>0</v>
      </c>
      <c r="F44" s="311"/>
      <c r="G44" s="260">
        <f t="shared" si="0"/>
        <v>-1</v>
      </c>
      <c r="H44" s="260"/>
      <c r="I44" s="187"/>
      <c r="Y44" s="171"/>
      <c r="Z44" s="171"/>
    </row>
    <row r="45" spans="1:27">
      <c r="A45" s="313"/>
      <c r="B45" s="305"/>
      <c r="C45" s="254">
        <v>7</v>
      </c>
      <c r="D45" s="254" t="s">
        <v>167</v>
      </c>
      <c r="E45" s="254">
        <f>IF(D45="yes",LOOKUP(C45,$Y$3:$Y$32,$Z$3:$Z$32)*IF($C$1="yes",LOOKUP(C45,$Y$3:$Y$32,$AA$3:$AA$32),1),0)</f>
        <v>0</v>
      </c>
      <c r="F45" s="311"/>
      <c r="G45" s="260">
        <f t="shared" si="0"/>
        <v>-1</v>
      </c>
      <c r="H45" s="260"/>
      <c r="I45" s="187"/>
    </row>
    <row r="46" spans="1:27">
      <c r="A46" s="313"/>
      <c r="B46" s="305"/>
      <c r="C46" s="254">
        <v>8</v>
      </c>
      <c r="D46" s="254" t="s">
        <v>167</v>
      </c>
      <c r="E46" s="254">
        <f>IF(D46="yes",LOOKUP(C46,$Y$3:$Y$32,$Z$3:$Z$32)*IF($C$1="yes",LOOKUP(C46,$Y$3:$Y$32,$AA$3:$AA$32),1),0)</f>
        <v>0</v>
      </c>
      <c r="F46" s="311"/>
      <c r="G46" s="260">
        <f t="shared" si="0"/>
        <v>-1</v>
      </c>
      <c r="H46" s="260"/>
      <c r="I46" s="187"/>
      <c r="Y46" s="171"/>
      <c r="Z46" s="171"/>
    </row>
    <row r="47" spans="1:27">
      <c r="A47" s="313"/>
      <c r="B47" s="306"/>
      <c r="C47" s="254">
        <v>10</v>
      </c>
      <c r="D47" s="254" t="s">
        <v>167</v>
      </c>
      <c r="E47" s="254">
        <f>IF(D47="yes",LOOKUP(C47,$Y$3:$Y$32,$Z$3:$Z$32)*IF($C$1="yes",LOOKUP(C47,$Y$3:$Y$32,$AA$3:$AA$32),1),0)</f>
        <v>0</v>
      </c>
      <c r="F47" s="312"/>
      <c r="G47" s="260">
        <f t="shared" si="0"/>
        <v>-1</v>
      </c>
      <c r="H47" s="260"/>
      <c r="I47" s="187"/>
    </row>
    <row r="48" spans="1:27">
      <c r="A48" s="313"/>
      <c r="B48" s="39" t="s">
        <v>574</v>
      </c>
      <c r="C48" s="39">
        <v>2</v>
      </c>
      <c r="D48" s="256" t="s">
        <v>167</v>
      </c>
      <c r="E48" s="244">
        <f>IF(D48="yes",LOOKUP(C48,$Y$3:$Y$32,$Z$3:$Z$32)*IF($C$1="yes",LOOKUP(C48,$Y$3:$Y$32,$AA$3:$AA$32),1),0)</f>
        <v>0</v>
      </c>
      <c r="F48" s="39">
        <f>SUM(E48:E48)</f>
        <v>0</v>
      </c>
      <c r="G48" s="260">
        <f t="shared" si="0"/>
        <v>-1</v>
      </c>
      <c r="H48" s="260"/>
      <c r="I48" s="187"/>
    </row>
    <row r="49" spans="1:30" s="171" customFormat="1">
      <c r="A49" s="313"/>
      <c r="B49" s="322" t="s">
        <v>631</v>
      </c>
      <c r="C49" s="246">
        <v>12</v>
      </c>
      <c r="D49" s="257" t="s">
        <v>165</v>
      </c>
      <c r="E49" s="246">
        <f>IF(D49="yes",LOOKUP(C49,$Y$3:$Y$32,$Z$3:$Z$32)*IF($C$1="yes",LOOKUP(C49,$Y$3:$Y$32,$AA$3:$AA$32),1),0)</f>
        <v>16384</v>
      </c>
      <c r="F49" s="322">
        <f>SUM(E49:E53)</f>
        <v>65536</v>
      </c>
      <c r="G49" s="260">
        <f t="shared" si="0"/>
        <v>12</v>
      </c>
      <c r="H49" s="260"/>
      <c r="I49" s="187"/>
      <c r="N49" s="129"/>
      <c r="Y49"/>
      <c r="Z49"/>
    </row>
    <row r="50" spans="1:30" s="171" customFormat="1">
      <c r="A50" s="313"/>
      <c r="B50" s="322"/>
      <c r="C50" s="246">
        <v>13</v>
      </c>
      <c r="D50" s="257" t="s">
        <v>165</v>
      </c>
      <c r="E50" s="246">
        <f>IF(D50="yes",LOOKUP(C50,$Y$3:$Y$32,$Z$3:$Z$32)*IF($C$1="yes",LOOKUP(C50,$Y$3:$Y$32,$AA$3:$AA$32),1),0)</f>
        <v>16384</v>
      </c>
      <c r="F50" s="322"/>
      <c r="G50" s="260">
        <f t="shared" si="0"/>
        <v>13</v>
      </c>
      <c r="H50" s="260"/>
      <c r="I50" s="187"/>
      <c r="N50" s="129"/>
      <c r="AB50" s="189" t="s">
        <v>308</v>
      </c>
      <c r="AC50" s="189" t="s">
        <v>308</v>
      </c>
      <c r="AD50" s="189" t="s">
        <v>164</v>
      </c>
    </row>
    <row r="51" spans="1:30" s="171" customFormat="1">
      <c r="A51" s="313"/>
      <c r="B51" s="322"/>
      <c r="C51" s="246">
        <v>14</v>
      </c>
      <c r="D51" s="257" t="s">
        <v>165</v>
      </c>
      <c r="E51" s="246">
        <f>IF(D51="yes",LOOKUP(C51,$Y$3:$Y$32,$Z$3:$Z$32)*IF($C$1="yes",LOOKUP(C51,$Y$3:$Y$32,$AA$3:$AA$32),1),0)</f>
        <v>32768</v>
      </c>
      <c r="F51" s="322"/>
      <c r="G51" s="260">
        <f t="shared" si="0"/>
        <v>14</v>
      </c>
      <c r="H51" s="260"/>
      <c r="I51" s="187"/>
      <c r="N51" s="129"/>
      <c r="X51" s="189" t="s">
        <v>308</v>
      </c>
      <c r="Y51" s="189" t="s">
        <v>308</v>
      </c>
      <c r="Z51" s="189" t="s">
        <v>164</v>
      </c>
      <c r="AB51" s="190" t="s">
        <v>346</v>
      </c>
      <c r="AC51" s="190">
        <v>0</v>
      </c>
      <c r="AD51" s="190">
        <v>1024</v>
      </c>
    </row>
    <row r="52" spans="1:30">
      <c r="A52" s="313"/>
      <c r="B52" s="322"/>
      <c r="C52" s="246">
        <v>15</v>
      </c>
      <c r="D52" s="257" t="s">
        <v>167</v>
      </c>
      <c r="E52" s="246">
        <f>IF(D52="yes",LOOKUP(C52,$Y$3:$Y$32,$Z$3:$Z$32)*IF($C$1="yes",LOOKUP(C52,$Y$3:$Y$32,$AA$3:$AA$32),1),0)</f>
        <v>0</v>
      </c>
      <c r="F52" s="322"/>
      <c r="G52" s="260">
        <f t="shared" si="0"/>
        <v>-1</v>
      </c>
      <c r="H52" s="260"/>
      <c r="I52" s="187"/>
      <c r="X52" s="190" t="s">
        <v>634</v>
      </c>
      <c r="Y52" s="190">
        <v>0</v>
      </c>
      <c r="Z52" s="190">
        <v>1024</v>
      </c>
      <c r="AB52" s="190" t="s">
        <v>347</v>
      </c>
      <c r="AC52" s="190">
        <v>1</v>
      </c>
      <c r="AD52" s="190">
        <v>1024</v>
      </c>
    </row>
    <row r="53" spans="1:30">
      <c r="A53" s="313"/>
      <c r="B53" s="322"/>
      <c r="C53" s="246">
        <v>16</v>
      </c>
      <c r="D53" s="257" t="s">
        <v>167</v>
      </c>
      <c r="E53" s="246">
        <f>IF(D53="yes",LOOKUP(C53,$Y$3:$Y$32,$Z$3:$Z$32)*IF($C$1="yes",LOOKUP(C53,$Y$3:$Y$32,$AA$3:$AA$32),1),0)</f>
        <v>0</v>
      </c>
      <c r="F53" s="322"/>
      <c r="G53" s="260">
        <f t="shared" si="0"/>
        <v>-1</v>
      </c>
      <c r="H53" s="260"/>
      <c r="I53" s="187"/>
      <c r="X53" s="190" t="s">
        <v>635</v>
      </c>
      <c r="Y53" s="190">
        <v>1</v>
      </c>
      <c r="Z53" s="190">
        <v>1024</v>
      </c>
      <c r="AB53" s="190" t="s">
        <v>348</v>
      </c>
      <c r="AC53" s="190">
        <v>2</v>
      </c>
      <c r="AD53" s="190">
        <v>1024</v>
      </c>
    </row>
    <row r="54" spans="1:30" s="171" customFormat="1">
      <c r="A54" s="313"/>
      <c r="B54" s="321" t="s">
        <v>658</v>
      </c>
      <c r="C54" s="39">
        <v>11</v>
      </c>
      <c r="D54" s="256" t="s">
        <v>165</v>
      </c>
      <c r="E54" s="244">
        <f>IF(D54="yes",LOOKUP(C54,$Y$3:$Y$32,$Z$3:$Z$32)*IF($C$1="yes",LOOKUP(C54,$Y$3:$Y$32,$AA$3:$AA$32),1),0)</f>
        <v>32768</v>
      </c>
      <c r="F54" s="321">
        <f>SUM(E54:E56)</f>
        <v>32768</v>
      </c>
      <c r="G54" s="260">
        <f t="shared" si="0"/>
        <v>11</v>
      </c>
      <c r="H54" s="260"/>
      <c r="I54" s="187"/>
      <c r="N54" s="129"/>
      <c r="X54" s="190" t="s">
        <v>653</v>
      </c>
      <c r="Y54" s="190">
        <v>2</v>
      </c>
      <c r="Z54" s="190">
        <v>1024</v>
      </c>
      <c r="AB54" s="190" t="s">
        <v>349</v>
      </c>
      <c r="AC54" s="190">
        <v>3</v>
      </c>
      <c r="AD54" s="190">
        <v>1024</v>
      </c>
    </row>
    <row r="55" spans="1:30" s="171" customFormat="1">
      <c r="A55" s="313"/>
      <c r="B55" s="321"/>
      <c r="C55" s="39">
        <v>15</v>
      </c>
      <c r="D55" s="256" t="s">
        <v>167</v>
      </c>
      <c r="E55" s="244">
        <f>IF(D55="yes",LOOKUP(C55,$Y$3:$Y$32,$Z$3:$Z$32)*IF($C$1="yes",LOOKUP(C55,$Y$3:$Y$32,$AA$3:$AA$32),1),0)</f>
        <v>0</v>
      </c>
      <c r="F55" s="321"/>
      <c r="G55" s="260">
        <f t="shared" si="0"/>
        <v>-1</v>
      </c>
      <c r="H55" s="260"/>
      <c r="I55" s="187"/>
      <c r="N55" s="129"/>
      <c r="X55" s="190" t="s">
        <v>654</v>
      </c>
      <c r="Y55" s="190">
        <v>3</v>
      </c>
      <c r="Z55" s="190">
        <v>1024</v>
      </c>
      <c r="AB55" s="190" t="s">
        <v>350</v>
      </c>
      <c r="AC55" s="190">
        <v>4</v>
      </c>
      <c r="AD55" s="190">
        <v>1024</v>
      </c>
    </row>
    <row r="56" spans="1:30">
      <c r="A56" s="313"/>
      <c r="B56" s="321"/>
      <c r="C56" s="39">
        <v>16</v>
      </c>
      <c r="D56" s="256" t="s">
        <v>167</v>
      </c>
      <c r="E56" s="244">
        <f>IF(D56="yes",LOOKUP(C56,$Y$3:$Y$32,$Z$3:$Z$32)*IF($C$1="yes",LOOKUP(C56,$Y$3:$Y$32,$AA$3:$AA$32),1),0)</f>
        <v>0</v>
      </c>
      <c r="F56" s="321"/>
      <c r="G56" s="260">
        <f t="shared" si="0"/>
        <v>-1</v>
      </c>
      <c r="H56" s="260"/>
      <c r="I56" s="187"/>
      <c r="X56" s="190" t="s">
        <v>636</v>
      </c>
      <c r="Y56" s="190">
        <v>4</v>
      </c>
      <c r="Z56" s="190">
        <v>1024</v>
      </c>
      <c r="AB56" s="190" t="s">
        <v>351</v>
      </c>
      <c r="AC56" s="190">
        <v>5</v>
      </c>
      <c r="AD56" s="190">
        <v>1024</v>
      </c>
    </row>
    <row r="57" spans="1:30">
      <c r="A57" s="313"/>
      <c r="B57" s="322" t="s">
        <v>170</v>
      </c>
      <c r="C57" s="246">
        <v>11</v>
      </c>
      <c r="D57" s="246" t="s">
        <v>167</v>
      </c>
      <c r="E57" s="246">
        <f>IF(D57="yes",LOOKUP(C57,$Y$3:$Y$32,$Z$3:$Z$32)*IF($C$1="yes",LOOKUP(C57,$Y$3:$Y$32,$AA$3:$AA$32),1),0)</f>
        <v>0</v>
      </c>
      <c r="F57" s="322">
        <f>SUM(E57:E62)</f>
        <v>131072</v>
      </c>
      <c r="G57" s="260">
        <f t="shared" si="0"/>
        <v>-1</v>
      </c>
      <c r="H57" s="260"/>
      <c r="I57" s="187"/>
      <c r="X57" s="190" t="s">
        <v>637</v>
      </c>
      <c r="Y57" s="190">
        <v>5</v>
      </c>
      <c r="Z57" s="190">
        <v>1024</v>
      </c>
      <c r="AB57" s="190" t="s">
        <v>352</v>
      </c>
      <c r="AC57" s="190">
        <v>6</v>
      </c>
      <c r="AD57" s="190">
        <v>1024</v>
      </c>
    </row>
    <row r="58" spans="1:30">
      <c r="A58" s="313"/>
      <c r="B58" s="322"/>
      <c r="C58" s="246">
        <v>12</v>
      </c>
      <c r="D58" s="257" t="s">
        <v>167</v>
      </c>
      <c r="E58" s="246">
        <f>IF(D58="yes",LOOKUP(C58,$Y$3:$Y$32,$Z$3:$Z$32)*IF($C$1="yes",LOOKUP(C58,$Y$3:$Y$32,$AA$3:$AA$32),1),0)</f>
        <v>0</v>
      </c>
      <c r="F58" s="322"/>
      <c r="G58" s="260">
        <f t="shared" si="0"/>
        <v>-1</v>
      </c>
      <c r="H58" s="260"/>
      <c r="I58" s="187"/>
      <c r="X58" s="190" t="s">
        <v>638</v>
      </c>
      <c r="Y58" s="190">
        <v>6</v>
      </c>
      <c r="Z58" s="190">
        <v>1024</v>
      </c>
      <c r="AB58" s="190" t="s">
        <v>353</v>
      </c>
      <c r="AC58" s="190">
        <v>7</v>
      </c>
      <c r="AD58" s="190">
        <v>1024</v>
      </c>
    </row>
    <row r="59" spans="1:30">
      <c r="A59" s="313"/>
      <c r="B59" s="322"/>
      <c r="C59" s="246">
        <v>13</v>
      </c>
      <c r="D59" s="257" t="s">
        <v>167</v>
      </c>
      <c r="E59" s="246">
        <f>IF(D59="yes",LOOKUP(C59,$Y$3:$Y$32,$Z$3:$Z$32)*IF($C$1="yes",LOOKUP(C59,$Y$3:$Y$32,$AA$3:$AA$32),1),0)</f>
        <v>0</v>
      </c>
      <c r="F59" s="322"/>
      <c r="G59" s="260">
        <f t="shared" si="0"/>
        <v>-1</v>
      </c>
      <c r="H59" s="260"/>
      <c r="I59" s="187"/>
      <c r="X59" s="190" t="s">
        <v>639</v>
      </c>
      <c r="Y59" s="190">
        <v>7</v>
      </c>
      <c r="Z59" s="190">
        <v>1024</v>
      </c>
      <c r="AB59" s="190" t="s">
        <v>354</v>
      </c>
      <c r="AC59" s="190">
        <v>8</v>
      </c>
      <c r="AD59" s="190">
        <v>2048</v>
      </c>
    </row>
    <row r="60" spans="1:30">
      <c r="A60" s="313"/>
      <c r="B60" s="322"/>
      <c r="C60" s="246">
        <v>14</v>
      </c>
      <c r="D60" s="246" t="s">
        <v>167</v>
      </c>
      <c r="E60" s="246">
        <f>IF(D60="yes",LOOKUP(C60,$Y$3:$Y$32,$Z$3:$Z$32)*IF($C$1="yes",LOOKUP(C60,$Y$3:$Y$32,$AA$3:$AA$32),1),0)</f>
        <v>0</v>
      </c>
      <c r="F60" s="322"/>
      <c r="G60" s="260">
        <f t="shared" si="0"/>
        <v>-1</v>
      </c>
      <c r="H60" s="260"/>
      <c r="I60" s="187"/>
      <c r="X60" s="190" t="s">
        <v>640</v>
      </c>
      <c r="Y60" s="190">
        <v>8</v>
      </c>
      <c r="Z60" s="190">
        <v>512</v>
      </c>
      <c r="AB60" s="190" t="s">
        <v>355</v>
      </c>
      <c r="AC60" s="190">
        <v>9</v>
      </c>
      <c r="AD60" s="190">
        <v>2048</v>
      </c>
    </row>
    <row r="61" spans="1:30">
      <c r="A61" s="313"/>
      <c r="B61" s="322"/>
      <c r="C61" s="246">
        <v>27</v>
      </c>
      <c r="D61" s="257" t="s">
        <v>165</v>
      </c>
      <c r="E61" s="246">
        <f>IF(D61="yes",LOOKUP(C61,$Y$3:$Y$32,$Z$3:$Z$32)*IF($C$1="yes",LOOKUP(C61,$Y$3:$Y$32,$AA$3:$AA$32),1),0)</f>
        <v>65536</v>
      </c>
      <c r="F61" s="322"/>
      <c r="G61" s="260">
        <f t="shared" si="0"/>
        <v>27</v>
      </c>
      <c r="H61" s="260"/>
      <c r="I61" s="187"/>
      <c r="X61" s="190" t="s">
        <v>641</v>
      </c>
      <c r="Y61" s="190">
        <v>9</v>
      </c>
      <c r="Z61" s="190">
        <v>512</v>
      </c>
      <c r="AB61" s="190" t="s">
        <v>356</v>
      </c>
      <c r="AC61" s="190">
        <v>10</v>
      </c>
      <c r="AD61" s="190">
        <v>2048</v>
      </c>
    </row>
    <row r="62" spans="1:30">
      <c r="A62" s="313"/>
      <c r="B62" s="322"/>
      <c r="C62" s="246">
        <v>28</v>
      </c>
      <c r="D62" s="257" t="s">
        <v>165</v>
      </c>
      <c r="E62" s="246">
        <f>IF(D62="yes",LOOKUP(C62,$Y$3:$Y$32,$Z$3:$Z$32)*IF($C$1="yes",LOOKUP(C62,$Y$3:$Y$32,$AA$3:$AA$32),1),0)</f>
        <v>65536</v>
      </c>
      <c r="F62" s="322"/>
      <c r="G62" s="260">
        <f t="shared" si="0"/>
        <v>28</v>
      </c>
      <c r="H62" s="260"/>
      <c r="X62" s="190" t="s">
        <v>642</v>
      </c>
      <c r="Y62" s="190">
        <v>10</v>
      </c>
      <c r="Z62" s="190">
        <v>512</v>
      </c>
      <c r="AB62" s="190" t="s">
        <v>357</v>
      </c>
      <c r="AC62" s="190">
        <v>11</v>
      </c>
      <c r="AD62" s="190">
        <v>2048</v>
      </c>
    </row>
    <row r="63" spans="1:30">
      <c r="A63" s="313"/>
      <c r="B63" s="39" t="s">
        <v>172</v>
      </c>
      <c r="C63" s="39">
        <v>11</v>
      </c>
      <c r="D63" s="256" t="s">
        <v>167</v>
      </c>
      <c r="E63" s="244">
        <f>IF(D63="yes",LOOKUP(C63,$Y$3:$Y$32,$Z$3:$Z$32)*IF($C$1="yes",LOOKUP(C63,$Y$3:$Y$32,$AA$3:$AA$32),1),0)</f>
        <v>0</v>
      </c>
      <c r="F63" s="39">
        <f>SUM(E63:E63)</f>
        <v>0</v>
      </c>
      <c r="G63" s="260">
        <f t="shared" si="0"/>
        <v>-1</v>
      </c>
      <c r="H63" s="260"/>
      <c r="X63" s="190" t="s">
        <v>643</v>
      </c>
      <c r="Y63" s="190">
        <v>11</v>
      </c>
      <c r="Z63" s="190">
        <v>512</v>
      </c>
    </row>
    <row r="64" spans="1:30">
      <c r="A64" s="313"/>
      <c r="B64" s="322" t="s">
        <v>175</v>
      </c>
      <c r="C64" s="246">
        <v>11</v>
      </c>
      <c r="D64" s="246" t="s">
        <v>655</v>
      </c>
      <c r="E64" s="246">
        <f>IF(D64="yes",LOOKUP(C64,$Y$3:$Y$32,$Z$3:$Z$32)*IF($C$1="yes",LOOKUP(C64,$Y$3:$Y$32,$AA$3:$AA$32),1),0)</f>
        <v>0</v>
      </c>
      <c r="F64" s="322">
        <f xml:space="preserve"> SUM(E64:E70)</f>
        <v>16384</v>
      </c>
      <c r="G64" s="260">
        <f t="shared" si="0"/>
        <v>-1</v>
      </c>
      <c r="H64" s="260"/>
      <c r="X64" s="190" t="s">
        <v>644</v>
      </c>
      <c r="Y64" s="190">
        <v>12</v>
      </c>
      <c r="Z64" s="190">
        <v>1024</v>
      </c>
    </row>
    <row r="65" spans="1:26">
      <c r="A65" s="313"/>
      <c r="B65" s="322"/>
      <c r="C65" s="246">
        <v>12</v>
      </c>
      <c r="D65" s="246" t="s">
        <v>167</v>
      </c>
      <c r="E65" s="246">
        <f>IF(D65="yes",LOOKUP(C65,$Y$3:$Y$32,$Z$3:$Z$32)*IF($C$1="yes",LOOKUP(C65,$Y$3:$Y$32,$AA$3:$AA$32),1),0)</f>
        <v>0</v>
      </c>
      <c r="F65" s="322"/>
      <c r="G65" s="260">
        <f t="shared" si="0"/>
        <v>-1</v>
      </c>
      <c r="H65" s="260"/>
      <c r="X65" s="190" t="s">
        <v>645</v>
      </c>
      <c r="Y65" s="190">
        <v>13</v>
      </c>
      <c r="Z65" s="190">
        <v>1024</v>
      </c>
    </row>
    <row r="66" spans="1:26">
      <c r="A66" s="313"/>
      <c r="B66" s="322"/>
      <c r="C66" s="246">
        <v>13</v>
      </c>
      <c r="D66" s="246" t="s">
        <v>167</v>
      </c>
      <c r="E66" s="246">
        <f>IF(D66="yes",LOOKUP(C66,$Y$3:$Y$32,$Z$3:$Z$32)*IF($C$1="yes",LOOKUP(C66,$Y$3:$Y$32,$AA$3:$AA$32),1),0)</f>
        <v>0</v>
      </c>
      <c r="F66" s="322"/>
      <c r="G66" s="260">
        <f t="shared" si="0"/>
        <v>-1</v>
      </c>
      <c r="H66" s="260"/>
      <c r="X66" s="190" t="s">
        <v>646</v>
      </c>
      <c r="Y66" s="190">
        <v>14</v>
      </c>
      <c r="Z66" s="190">
        <v>1024</v>
      </c>
    </row>
    <row r="67" spans="1:26">
      <c r="A67" s="313"/>
      <c r="B67" s="322"/>
      <c r="C67" s="246">
        <v>14</v>
      </c>
      <c r="D67" s="257" t="s">
        <v>167</v>
      </c>
      <c r="E67" s="246">
        <f>IF(D67="yes",LOOKUP(C67,$Y$3:$Y$32,$Z$3:$Z$32)*IF($C$1="yes",LOOKUP(C67,$Y$3:$Y$32,$AA$3:$AA$32),1),0)</f>
        <v>0</v>
      </c>
      <c r="F67" s="322"/>
      <c r="G67" s="260">
        <f t="shared" si="0"/>
        <v>-1</v>
      </c>
      <c r="H67" s="260"/>
      <c r="L67" s="171"/>
      <c r="X67" s="190" t="s">
        <v>647</v>
      </c>
      <c r="Y67" s="190">
        <v>15</v>
      </c>
      <c r="Z67" s="190">
        <v>2048</v>
      </c>
    </row>
    <row r="68" spans="1:26">
      <c r="A68" s="313"/>
      <c r="B68" s="322"/>
      <c r="C68" s="246">
        <v>16</v>
      </c>
      <c r="D68" s="257" t="s">
        <v>165</v>
      </c>
      <c r="E68" s="246">
        <f>IF(D68="yes",LOOKUP(C68,$Y$3:$Y$32,$Z$3:$Z$32)*IF($C$1="yes",LOOKUP(C68,$Y$3:$Y$32,$AA$3:$AA$32),1),0)</f>
        <v>16384</v>
      </c>
      <c r="F68" s="322"/>
      <c r="G68" s="260">
        <f t="shared" si="0"/>
        <v>16</v>
      </c>
      <c r="H68" s="260"/>
      <c r="X68" s="190" t="s">
        <v>648</v>
      </c>
      <c r="Y68" s="190">
        <v>16</v>
      </c>
      <c r="Z68" s="190">
        <v>2048</v>
      </c>
    </row>
    <row r="69" spans="1:26">
      <c r="A69" s="313"/>
      <c r="B69" s="322"/>
      <c r="C69" s="246">
        <v>27</v>
      </c>
      <c r="D69" s="257" t="s">
        <v>167</v>
      </c>
      <c r="E69" s="246">
        <f>IF(D69="yes",LOOKUP(C69,$Y$3:$Y$32,$Z$3:$Z$32)*IF($C$1="yes",LOOKUP(C69,$Y$3:$Y$32,$AA$3:$AA$32),1),0)</f>
        <v>0</v>
      </c>
      <c r="F69" s="322"/>
      <c r="G69" s="260">
        <f t="shared" ref="G69:G87" si="1" xml:space="preserve"> IF(D69 = "yes", C69, -1)</f>
        <v>-1</v>
      </c>
      <c r="H69" s="260"/>
      <c r="X69" s="190" t="s">
        <v>649</v>
      </c>
      <c r="Y69" s="190">
        <v>17</v>
      </c>
      <c r="Z69" s="190">
        <v>2048</v>
      </c>
    </row>
    <row r="70" spans="1:26">
      <c r="A70" s="313"/>
      <c r="B70" s="322"/>
      <c r="C70" s="246">
        <v>28</v>
      </c>
      <c r="D70" s="257" t="s">
        <v>167</v>
      </c>
      <c r="E70" s="246">
        <f>IF(D70="yes",LOOKUP(C70,$Y$3:$Y$32,$Z$3:$Z$32)*IF($C$1="yes",LOOKUP(C70,$Y$3:$Y$32,$AA$3:$AA$32),1),0)</f>
        <v>0</v>
      </c>
      <c r="F70" s="322"/>
      <c r="G70" s="260">
        <f t="shared" si="1"/>
        <v>-1</v>
      </c>
      <c r="H70" s="260"/>
      <c r="X70" s="190" t="s">
        <v>650</v>
      </c>
      <c r="Y70" s="190">
        <v>18</v>
      </c>
      <c r="Z70" s="190">
        <v>2048</v>
      </c>
    </row>
    <row r="71" spans="1:26">
      <c r="A71" s="313"/>
      <c r="B71" s="317" t="s">
        <v>576</v>
      </c>
      <c r="C71" s="39">
        <v>17</v>
      </c>
      <c r="D71" s="256" t="s">
        <v>167</v>
      </c>
      <c r="E71" s="244">
        <f>IF(D71="yes",LOOKUP(C71,$Y$3:$Y$32,$Z$3:$Z$32)*IF($C$1="yes",LOOKUP(C71,$Y$3:$Y$32,$AA$3:$AA$32),1),0)</f>
        <v>0</v>
      </c>
      <c r="F71" s="317">
        <f xml:space="preserve"> SUM(E71:E75)</f>
        <v>65536</v>
      </c>
      <c r="G71" s="260">
        <f t="shared" si="1"/>
        <v>-1</v>
      </c>
      <c r="H71" s="260"/>
      <c r="N71" s="237"/>
      <c r="O71" s="226"/>
      <c r="X71"/>
    </row>
    <row r="72" spans="1:26">
      <c r="A72" s="313"/>
      <c r="B72" s="319"/>
      <c r="C72" s="39">
        <v>18</v>
      </c>
      <c r="D72" s="256" t="s">
        <v>167</v>
      </c>
      <c r="E72" s="244">
        <f>IF(D72="yes",LOOKUP(C72,$Y$3:$Y$32,$Z$3:$Z$32)*IF($C$1="yes",LOOKUP(C72,$Y$3:$Y$32,$AA$3:$AA$32),1),0)</f>
        <v>0</v>
      </c>
      <c r="F72" s="319"/>
      <c r="G72" s="260">
        <f t="shared" si="1"/>
        <v>-1</v>
      </c>
      <c r="H72" s="260"/>
      <c r="N72" s="188"/>
      <c r="O72" s="187"/>
      <c r="U72"/>
    </row>
    <row r="73" spans="1:26">
      <c r="A73" s="313"/>
      <c r="B73" s="319"/>
      <c r="C73" s="39">
        <v>19</v>
      </c>
      <c r="D73" s="39" t="s">
        <v>167</v>
      </c>
      <c r="E73" s="244">
        <f>IF(D73="yes",LOOKUP(C73,$Y$3:$Y$32,$Z$3:$Z$32)*IF($C$1="yes",LOOKUP(C73,$Y$3:$Y$32,$AA$3:$AA$32),1),0)</f>
        <v>0</v>
      </c>
      <c r="F73" s="319"/>
      <c r="G73" s="260">
        <f t="shared" si="1"/>
        <v>-1</v>
      </c>
      <c r="H73" s="260"/>
      <c r="N73" s="188"/>
      <c r="O73" s="187"/>
      <c r="U73"/>
    </row>
    <row r="74" spans="1:26">
      <c r="A74" s="313"/>
      <c r="B74" s="319"/>
      <c r="C74" s="39">
        <v>21</v>
      </c>
      <c r="D74" s="39" t="s">
        <v>167</v>
      </c>
      <c r="E74" s="244">
        <f>IF(D74="yes",LOOKUP(C74,$Y$3:$Y$32,$Z$3:$Z$32)*IF($C$1="yes",LOOKUP(C74,$Y$3:$Y$32,$AA$3:$AA$32),1),0)</f>
        <v>0</v>
      </c>
      <c r="F74" s="319"/>
      <c r="G74" s="260">
        <f t="shared" si="1"/>
        <v>-1</v>
      </c>
      <c r="H74" s="260"/>
      <c r="N74" s="188"/>
      <c r="O74" s="187"/>
      <c r="U74"/>
    </row>
    <row r="75" spans="1:26" s="171" customFormat="1">
      <c r="A75" s="313"/>
      <c r="B75" s="318"/>
      <c r="C75" s="39">
        <v>29</v>
      </c>
      <c r="D75" s="39" t="s">
        <v>165</v>
      </c>
      <c r="E75" s="244">
        <f>IF(D75="yes",LOOKUP(C75,$Y$3:$Y$32,$Z$3:$Z$32)*IF($C$1="yes",LOOKUP(C75,$Y$3:$Y$32,$AA$3:$AA$32),1),0)</f>
        <v>65536</v>
      </c>
      <c r="F75" s="318"/>
      <c r="G75" s="260">
        <f t="shared" si="1"/>
        <v>29</v>
      </c>
      <c r="H75" s="260"/>
      <c r="N75" s="188"/>
      <c r="O75" s="187"/>
      <c r="Z75"/>
    </row>
    <row r="76" spans="1:26" s="171" customFormat="1">
      <c r="A76" s="313"/>
      <c r="B76" s="322" t="s">
        <v>632</v>
      </c>
      <c r="C76" s="246">
        <v>19</v>
      </c>
      <c r="D76" s="257" t="s">
        <v>165</v>
      </c>
      <c r="E76" s="246">
        <f>IF(D76="yes",LOOKUP(C76,$Y$3:$Y$32,$Z$3:$Z$32)*IF($C$1="yes",LOOKUP(C76,$Y$3:$Y$32,$AA$3:$AA$32),1),0)</f>
        <v>16384</v>
      </c>
      <c r="F76" s="307">
        <f xml:space="preserve"> SUM(E76:E78)</f>
        <v>32768</v>
      </c>
      <c r="G76" s="260">
        <f t="shared" si="1"/>
        <v>19</v>
      </c>
      <c r="H76" s="260"/>
      <c r="N76" s="188"/>
      <c r="O76" s="187"/>
      <c r="Z76"/>
    </row>
    <row r="77" spans="1:26">
      <c r="A77" s="313"/>
      <c r="B77" s="326"/>
      <c r="C77" s="246">
        <v>21</v>
      </c>
      <c r="D77" s="246" t="s">
        <v>165</v>
      </c>
      <c r="E77" s="246">
        <f>IF(D77="yes",LOOKUP(C77,$Y$3:$Y$32,$Z$3:$Z$32)*IF($C$1="yes",LOOKUP(C77,$Y$3:$Y$32,$AA$3:$AA$32),1),0)</f>
        <v>8192</v>
      </c>
      <c r="F77" s="308"/>
      <c r="G77" s="260">
        <f t="shared" si="1"/>
        <v>21</v>
      </c>
      <c r="H77" s="260"/>
      <c r="N77" s="188"/>
      <c r="O77" s="187"/>
      <c r="U77"/>
      <c r="Y77" s="171"/>
    </row>
    <row r="78" spans="1:26">
      <c r="A78" s="313"/>
      <c r="B78" s="326"/>
      <c r="C78" s="246">
        <v>22</v>
      </c>
      <c r="D78" s="246" t="s">
        <v>165</v>
      </c>
      <c r="E78" s="246">
        <f>IF(D78="yes",LOOKUP(C78,$Y$3:$Y$32,$Z$3:$Z$32)*IF($C$1="yes",LOOKUP(C78,$Y$3:$Y$32,$AA$3:$AA$32),1),0)</f>
        <v>8192</v>
      </c>
      <c r="F78" s="309"/>
      <c r="G78" s="260">
        <f t="shared" si="1"/>
        <v>22</v>
      </c>
      <c r="H78" s="260"/>
      <c r="N78" s="188"/>
      <c r="O78" s="187"/>
      <c r="Q78" s="139"/>
      <c r="R78" s="139"/>
      <c r="S78" s="139"/>
      <c r="T78" s="139"/>
      <c r="U78" s="139"/>
      <c r="Y78" s="171"/>
      <c r="Z78" s="171"/>
    </row>
    <row r="79" spans="1:26" s="171" customFormat="1">
      <c r="A79" s="313"/>
      <c r="B79" s="321" t="s">
        <v>577</v>
      </c>
      <c r="C79" s="39">
        <v>18</v>
      </c>
      <c r="D79" s="39" t="s">
        <v>167</v>
      </c>
      <c r="E79" s="244">
        <f>IF(D79="yes",LOOKUP(C79,$Y$3:$Y$32,$Z$3:$Z$32)*IF($C$1="yes",LOOKUP(C79,$Y$3:$Y$32,$AA$3:$AA$32),1),0)</f>
        <v>0</v>
      </c>
      <c r="F79" s="317">
        <f xml:space="preserve"> SUM(E79:E83)</f>
        <v>8192</v>
      </c>
      <c r="G79" s="260">
        <f t="shared" si="1"/>
        <v>-1</v>
      </c>
      <c r="H79" s="260"/>
      <c r="N79" s="188"/>
      <c r="O79" s="187"/>
    </row>
    <row r="80" spans="1:26">
      <c r="A80" s="313"/>
      <c r="B80" s="321"/>
      <c r="C80" s="39">
        <v>19</v>
      </c>
      <c r="D80" s="39" t="s">
        <v>167</v>
      </c>
      <c r="E80" s="244">
        <f>IF(D80="yes",LOOKUP(C80,$Y$3:$Y$32,$Z$3:$Z$32)*IF($C$1="yes",LOOKUP(C80,$Y$3:$Y$32,$AA$3:$AA$32),1),0)</f>
        <v>0</v>
      </c>
      <c r="F80" s="319"/>
      <c r="G80" s="260">
        <f t="shared" si="1"/>
        <v>-1</v>
      </c>
      <c r="H80" s="260"/>
      <c r="N80" s="188"/>
      <c r="O80" s="187"/>
      <c r="U80"/>
      <c r="Y80" s="171"/>
    </row>
    <row r="81" spans="1:27" s="171" customFormat="1">
      <c r="A81" s="313"/>
      <c r="B81" s="321"/>
      <c r="C81" s="39">
        <v>20</v>
      </c>
      <c r="D81" s="39" t="s">
        <v>165</v>
      </c>
      <c r="E81" s="244">
        <f>IF(D81="yes",LOOKUP(C81,$Y$3:$Y$32,$Z$3:$Z$32)*IF($C$1="yes",LOOKUP(C81,$Y$3:$Y$32,$AA$3:$AA$32),1),0)</f>
        <v>8192</v>
      </c>
      <c r="F81" s="319"/>
      <c r="G81" s="260">
        <f t="shared" si="1"/>
        <v>20</v>
      </c>
      <c r="H81" s="260"/>
      <c r="N81" s="188"/>
      <c r="O81" s="187"/>
      <c r="Z81"/>
    </row>
    <row r="82" spans="1:27">
      <c r="A82" s="313"/>
      <c r="B82" s="321"/>
      <c r="C82" s="39">
        <v>21</v>
      </c>
      <c r="D82" s="39" t="s">
        <v>167</v>
      </c>
      <c r="E82" s="244">
        <f>IF(D82="yes",LOOKUP(C82,$Y$3:$Y$32,$Z$3:$Z$32)*IF($C$1="yes",LOOKUP(C82,$Y$3:$Y$32,$AA$3:$AA$32),1),0)</f>
        <v>0</v>
      </c>
      <c r="F82" s="319"/>
      <c r="G82" s="260">
        <f t="shared" si="1"/>
        <v>-1</v>
      </c>
      <c r="H82" s="260"/>
      <c r="N82" s="188"/>
      <c r="O82" s="187"/>
      <c r="U82"/>
      <c r="Y82" s="171"/>
      <c r="Z82" s="171"/>
      <c r="AA82" s="139"/>
    </row>
    <row r="83" spans="1:27" s="171" customFormat="1">
      <c r="A83" s="313"/>
      <c r="B83" s="321"/>
      <c r="C83" s="39">
        <v>22</v>
      </c>
      <c r="D83" s="39" t="s">
        <v>167</v>
      </c>
      <c r="E83" s="244">
        <f>IF(D83="yes",LOOKUP(C83,$Y$3:$Y$32,$Z$3:$Z$32)*IF($C$1="yes",LOOKUP(C83,$Y$3:$Y$32,$AA$3:$AA$32),1),0)</f>
        <v>0</v>
      </c>
      <c r="F83" s="318"/>
      <c r="G83" s="260">
        <f t="shared" si="1"/>
        <v>-1</v>
      </c>
      <c r="H83" s="260"/>
      <c r="N83" s="188"/>
      <c r="O83" s="187"/>
      <c r="Z83"/>
    </row>
    <row r="84" spans="1:27">
      <c r="A84" s="313"/>
      <c r="B84" s="307" t="s">
        <v>578</v>
      </c>
      <c r="C84" s="246">
        <v>17</v>
      </c>
      <c r="D84" s="257" t="s">
        <v>165</v>
      </c>
      <c r="E84" s="246">
        <f>IF(D84="yes",LOOKUP(C84,$Y$3:$Y$32,$Z$3:$Z$32)*IF($C$1="yes",LOOKUP(C84,$Y$3:$Y$32,$AA$3:$AA$32),1),0)</f>
        <v>32768</v>
      </c>
      <c r="F84" s="317">
        <f xml:space="preserve"> SUM(E84:E87)</f>
        <v>49152</v>
      </c>
      <c r="G84" s="260">
        <f t="shared" si="1"/>
        <v>17</v>
      </c>
      <c r="H84" s="260"/>
      <c r="J84" s="188"/>
      <c r="K84" s="188"/>
      <c r="L84" s="188"/>
      <c r="M84" s="188"/>
      <c r="N84" s="188"/>
      <c r="O84" s="187"/>
      <c r="U84"/>
      <c r="Y84" s="171"/>
      <c r="Z84" s="171"/>
    </row>
    <row r="85" spans="1:27">
      <c r="A85" s="313"/>
      <c r="B85" s="308"/>
      <c r="C85" s="246">
        <v>18</v>
      </c>
      <c r="D85" s="257" t="s">
        <v>165</v>
      </c>
      <c r="E85" s="246">
        <f>IF(D85="yes",LOOKUP(C85,$Y$3:$Y$32,$Z$3:$Z$32)*IF($C$1="yes",LOOKUP(C85,$Y$3:$Y$32,$AA$3:$AA$32),1),0)</f>
        <v>16384</v>
      </c>
      <c r="F85" s="319"/>
      <c r="G85" s="260">
        <f t="shared" si="1"/>
        <v>18</v>
      </c>
      <c r="H85" s="260"/>
      <c r="J85" s="188"/>
      <c r="K85" s="188"/>
      <c r="L85" s="188"/>
      <c r="M85" s="188"/>
      <c r="N85" s="188"/>
      <c r="O85" s="187"/>
      <c r="U85"/>
      <c r="Y85" s="171"/>
    </row>
    <row r="86" spans="1:27">
      <c r="A86" s="313"/>
      <c r="B86" s="308"/>
      <c r="C86" s="246">
        <v>19</v>
      </c>
      <c r="D86" s="257" t="s">
        <v>662</v>
      </c>
      <c r="E86" s="246">
        <f>IF(D86="yes",LOOKUP(C86,$Y$3:$Y$32,$Z$3:$Z$32)*IF($C$1="yes",LOOKUP(C86,$Y$3:$Y$32,$AA$3:$AA$32),1),0)</f>
        <v>0</v>
      </c>
      <c r="F86" s="319"/>
      <c r="G86" s="260">
        <f t="shared" si="1"/>
        <v>-1</v>
      </c>
      <c r="H86" s="260"/>
      <c r="J86" s="188"/>
      <c r="K86" s="188"/>
      <c r="L86" s="188"/>
      <c r="M86" s="188"/>
      <c r="N86" s="188"/>
      <c r="O86" s="187"/>
      <c r="U86"/>
      <c r="Y86" s="171"/>
      <c r="Z86" s="171"/>
    </row>
    <row r="87" spans="1:27">
      <c r="A87" s="313"/>
      <c r="B87" s="309"/>
      <c r="C87" s="246">
        <v>22</v>
      </c>
      <c r="D87" s="257" t="s">
        <v>662</v>
      </c>
      <c r="E87" s="246">
        <f>IF(D87="yes",LOOKUP(C87,$Y$3:$Y$32,$Z$3:$Z$32)*IF($C$1="yes",LOOKUP(C87,$Y$3:$Y$32,$AA$3:$AA$32),1),0)</f>
        <v>0</v>
      </c>
      <c r="F87" s="318"/>
      <c r="G87" s="260">
        <f t="shared" si="1"/>
        <v>-1</v>
      </c>
      <c r="H87" s="260"/>
      <c r="I87" s="188"/>
      <c r="J87" s="188"/>
      <c r="K87" s="188"/>
      <c r="L87" s="188"/>
      <c r="M87" s="188"/>
      <c r="N87" s="188"/>
      <c r="O87" s="187"/>
      <c r="U87"/>
      <c r="Y87" s="171"/>
    </row>
    <row r="88" spans="1:27">
      <c r="A88" s="171"/>
      <c r="G88" s="188"/>
      <c r="H88" s="188"/>
      <c r="I88" s="188"/>
      <c r="J88" s="188"/>
      <c r="K88" s="188"/>
      <c r="L88" s="188"/>
      <c r="M88" s="188"/>
      <c r="N88" s="188"/>
      <c r="O88" s="187"/>
      <c r="U88"/>
      <c r="Y88" s="171"/>
    </row>
    <row r="89" spans="1:27">
      <c r="A89" s="171"/>
      <c r="G89" s="324"/>
      <c r="H89" s="324"/>
      <c r="I89" s="188"/>
      <c r="J89" s="188"/>
      <c r="K89" s="188"/>
      <c r="L89" s="188"/>
      <c r="M89" s="188"/>
      <c r="N89" s="188"/>
      <c r="O89" s="187"/>
      <c r="U89"/>
      <c r="Y89" s="171"/>
    </row>
    <row r="90" spans="1:27">
      <c r="A90" s="171"/>
      <c r="G90" s="324"/>
      <c r="H90" s="324"/>
      <c r="I90" s="188"/>
      <c r="J90" s="188"/>
      <c r="K90" s="188"/>
      <c r="L90" s="188"/>
      <c r="M90" s="188"/>
      <c r="N90" s="188"/>
      <c r="O90" s="187"/>
      <c r="P90" s="139"/>
      <c r="U90"/>
      <c r="Y90" s="171"/>
    </row>
    <row r="91" spans="1:27">
      <c r="A91" s="171"/>
      <c r="C91" s="129"/>
      <c r="G91" s="324"/>
      <c r="H91" s="324"/>
      <c r="I91" s="188"/>
      <c r="J91" s="188"/>
      <c r="K91" s="188"/>
      <c r="L91" s="188"/>
      <c r="M91" s="188"/>
      <c r="N91" s="188"/>
      <c r="O91" s="187"/>
      <c r="U91"/>
      <c r="Y91" s="171"/>
    </row>
    <row r="92" spans="1:27">
      <c r="A92" s="171"/>
      <c r="G92" s="324"/>
      <c r="H92" s="324"/>
      <c r="I92" s="188"/>
      <c r="J92" s="188"/>
      <c r="K92" s="188"/>
      <c r="L92" s="188"/>
      <c r="M92" s="188"/>
      <c r="N92" s="188"/>
      <c r="O92" s="187"/>
      <c r="U92"/>
      <c r="Y92" s="171"/>
    </row>
    <row r="93" spans="1:27">
      <c r="B93" s="186" t="s">
        <v>309</v>
      </c>
      <c r="C93" s="186" t="s">
        <v>308</v>
      </c>
      <c r="D93" s="233" t="s">
        <v>160</v>
      </c>
      <c r="E93" s="233" t="s">
        <v>164</v>
      </c>
      <c r="F93" s="233" t="s">
        <v>114</v>
      </c>
      <c r="G93" s="231"/>
      <c r="H93" s="231"/>
      <c r="I93" s="235"/>
      <c r="J93" s="231"/>
      <c r="K93" s="231"/>
      <c r="L93" s="231"/>
      <c r="M93" s="231"/>
      <c r="N93" s="231"/>
      <c r="O93" s="187"/>
      <c r="U93"/>
      <c r="Y93" s="171"/>
      <c r="Z93" s="139"/>
    </row>
    <row r="94" spans="1:27" s="171" customFormat="1" ht="16.5" customHeight="1">
      <c r="A94" s="325" t="s">
        <v>592</v>
      </c>
      <c r="B94" s="247" t="s">
        <v>579</v>
      </c>
      <c r="C94" s="178">
        <v>0</v>
      </c>
      <c r="D94" s="234" t="s">
        <v>165</v>
      </c>
      <c r="E94" s="234">
        <f>IF(D94="yes",LOOKUP(C94,Y52:Y70,Z52:Z70),0)</f>
        <v>1024</v>
      </c>
      <c r="F94" s="247">
        <f>SUM(E94:E94)</f>
        <v>1024</v>
      </c>
      <c r="G94" s="260">
        <f xml:space="preserve"> IF(D94 = "yes", C94, -1)</f>
        <v>0</v>
      </c>
      <c r="H94" s="231"/>
      <c r="I94" s="235"/>
      <c r="J94" s="231"/>
      <c r="K94" s="231"/>
      <c r="L94" s="231"/>
      <c r="M94" s="231"/>
      <c r="N94" s="231"/>
      <c r="O94" s="187"/>
      <c r="Z94"/>
    </row>
    <row r="95" spans="1:27" ht="17.25" customHeight="1">
      <c r="A95" s="325"/>
      <c r="B95" s="245" t="s">
        <v>580</v>
      </c>
      <c r="C95" s="243">
        <v>1</v>
      </c>
      <c r="D95" s="243" t="s">
        <v>165</v>
      </c>
      <c r="E95" s="244">
        <f>IF(D95="yes",LOOKUP(C95,Y52:Y70,Z52:Z70),0)</f>
        <v>1024</v>
      </c>
      <c r="F95" s="245">
        <f xml:space="preserve"> SUM(E95:E95)</f>
        <v>1024</v>
      </c>
      <c r="G95" s="260">
        <f t="shared" ref="G95:G118" si="2" xml:space="preserve"> IF(D95 = "yes", C95, -1)</f>
        <v>1</v>
      </c>
      <c r="H95" s="187"/>
      <c r="I95" s="187"/>
      <c r="J95" s="187"/>
      <c r="K95" s="187"/>
      <c r="L95" s="187"/>
      <c r="M95" s="187"/>
      <c r="N95" s="187"/>
      <c r="O95" s="187"/>
      <c r="U95"/>
      <c r="Y95" s="171"/>
    </row>
    <row r="96" spans="1:27">
      <c r="A96" s="325"/>
      <c r="B96" s="321" t="s">
        <v>651</v>
      </c>
      <c r="C96" s="39">
        <v>2</v>
      </c>
      <c r="D96" s="39" t="s">
        <v>165</v>
      </c>
      <c r="E96" s="39">
        <f>IF(D96="yes",LOOKUP(C96,Y52:Y70,Z52:Z70),0)</f>
        <v>1024</v>
      </c>
      <c r="F96" s="321">
        <f xml:space="preserve"> SUM(E96:E97)</f>
        <v>3072</v>
      </c>
      <c r="G96" s="260">
        <f t="shared" si="2"/>
        <v>2</v>
      </c>
      <c r="U96"/>
      <c r="Y96" s="171"/>
    </row>
    <row r="97" spans="1:26" s="171" customFormat="1">
      <c r="A97" s="325"/>
      <c r="B97" s="321"/>
      <c r="C97" s="39">
        <v>15</v>
      </c>
      <c r="D97" s="39" t="s">
        <v>165</v>
      </c>
      <c r="E97" s="39">
        <f>IF(D97="yes",LOOKUP(C97,Y52:Y70,Z52:Z70),0)</f>
        <v>2048</v>
      </c>
      <c r="F97" s="321"/>
      <c r="G97" s="260">
        <f t="shared" si="2"/>
        <v>15</v>
      </c>
      <c r="N97" s="129"/>
    </row>
    <row r="98" spans="1:26" s="171" customFormat="1">
      <c r="A98" s="325"/>
      <c r="B98" s="323" t="s">
        <v>652</v>
      </c>
      <c r="C98" s="131">
        <v>3</v>
      </c>
      <c r="D98" s="236" t="s">
        <v>165</v>
      </c>
      <c r="E98" s="236">
        <f>IF(D98="yes",LOOKUP(C98,Y52:Y70,Z52:Z70),0)</f>
        <v>1024</v>
      </c>
      <c r="F98" s="323">
        <f xml:space="preserve"> SUM(E98:E99)</f>
        <v>3072</v>
      </c>
      <c r="G98" s="260">
        <f t="shared" si="2"/>
        <v>3</v>
      </c>
      <c r="N98" s="129"/>
      <c r="Z98"/>
    </row>
    <row r="99" spans="1:26" s="171" customFormat="1">
      <c r="A99" s="325"/>
      <c r="B99" s="323"/>
      <c r="C99" s="131">
        <v>16</v>
      </c>
      <c r="D99" s="242" t="s">
        <v>610</v>
      </c>
      <c r="E99" s="236">
        <f>IF(D99="yes",LOOKUP(C99,Y52:Y70,Z52:Z70),0)</f>
        <v>2048</v>
      </c>
      <c r="F99" s="323"/>
      <c r="G99" s="260">
        <f t="shared" si="2"/>
        <v>16</v>
      </c>
      <c r="Z99"/>
    </row>
    <row r="100" spans="1:26" s="171" customFormat="1">
      <c r="A100" s="325"/>
      <c r="B100" s="320" t="s">
        <v>581</v>
      </c>
      <c r="C100" s="178">
        <v>4</v>
      </c>
      <c r="D100" s="234" t="s">
        <v>165</v>
      </c>
      <c r="E100" s="234">
        <f>IF(D100="yes",LOOKUP(C100,Y52:Y70,Z52:Z70),0)</f>
        <v>1024</v>
      </c>
      <c r="F100" s="320">
        <f xml:space="preserve"> SUM(E100:E101)</f>
        <v>1024</v>
      </c>
      <c r="G100" s="260">
        <f t="shared" si="2"/>
        <v>4</v>
      </c>
    </row>
    <row r="101" spans="1:26" s="171" customFormat="1">
      <c r="A101" s="325"/>
      <c r="B101" s="320"/>
      <c r="C101" s="178">
        <v>15</v>
      </c>
      <c r="D101" s="240" t="s">
        <v>167</v>
      </c>
      <c r="E101" s="234">
        <f>IF(D101="yes",LOOKUP(C101,Y52:Y70,Z52:Z70),0)</f>
        <v>0</v>
      </c>
      <c r="F101" s="320"/>
      <c r="G101" s="260">
        <f t="shared" si="2"/>
        <v>-1</v>
      </c>
    </row>
    <row r="102" spans="1:26" s="171" customFormat="1">
      <c r="A102" s="325"/>
      <c r="B102" s="323" t="s">
        <v>582</v>
      </c>
      <c r="C102" s="131">
        <v>5</v>
      </c>
      <c r="D102" s="236" t="s">
        <v>165</v>
      </c>
      <c r="E102" s="236">
        <f>IF(D102="yes",LOOKUP(C102,Y52:Y70,Z52:Z70),0)</f>
        <v>1024</v>
      </c>
      <c r="F102" s="323">
        <f xml:space="preserve"> SUM(E102:E103)</f>
        <v>1024</v>
      </c>
      <c r="G102" s="260">
        <f t="shared" si="2"/>
        <v>5</v>
      </c>
      <c r="H102"/>
      <c r="I102"/>
      <c r="J102"/>
      <c r="K102"/>
      <c r="L102"/>
      <c r="M102"/>
      <c r="R102"/>
      <c r="S102"/>
      <c r="T102"/>
      <c r="U102"/>
    </row>
    <row r="103" spans="1:26" s="171" customFormat="1">
      <c r="A103" s="325"/>
      <c r="B103" s="323"/>
      <c r="C103" s="131">
        <v>16</v>
      </c>
      <c r="D103" s="259" t="s">
        <v>167</v>
      </c>
      <c r="E103" s="236">
        <f>IF(D103="yes",LOOKUP(C103,Y52:Y70,Z52:Z70),0)</f>
        <v>0</v>
      </c>
      <c r="F103" s="323"/>
      <c r="G103" s="260">
        <f t="shared" si="2"/>
        <v>-1</v>
      </c>
      <c r="H103" s="38"/>
      <c r="I103" s="38"/>
      <c r="J103"/>
      <c r="N103"/>
      <c r="P103"/>
      <c r="R103" s="129"/>
      <c r="S103"/>
      <c r="T103"/>
      <c r="U103"/>
    </row>
    <row r="104" spans="1:26" s="171" customFormat="1">
      <c r="A104" s="325"/>
      <c r="B104" s="320" t="s">
        <v>583</v>
      </c>
      <c r="C104" s="178">
        <v>6</v>
      </c>
      <c r="D104" s="234" t="s">
        <v>165</v>
      </c>
      <c r="E104" s="234">
        <f>IF(D104="yes",LOOKUP(C104,Y52:Y70,Z52:Z70),0)</f>
        <v>1024</v>
      </c>
      <c r="F104" s="320">
        <f xml:space="preserve"> SUM(E104:E105)</f>
        <v>1024</v>
      </c>
      <c r="G104" s="260">
        <f t="shared" si="2"/>
        <v>6</v>
      </c>
      <c r="H104" s="38"/>
      <c r="I104" s="38"/>
      <c r="J104"/>
      <c r="N104"/>
      <c r="P104"/>
      <c r="R104" s="129"/>
      <c r="S104"/>
      <c r="T104"/>
      <c r="U104"/>
    </row>
    <row r="105" spans="1:26" s="171" customFormat="1">
      <c r="A105" s="325"/>
      <c r="B105" s="320"/>
      <c r="C105" s="178">
        <v>17</v>
      </c>
      <c r="D105" s="234" t="s">
        <v>601</v>
      </c>
      <c r="E105" s="234">
        <f>IF(D105="yes",LOOKUP(C105,Y52:Y70,Z52:Z70),0)</f>
        <v>0</v>
      </c>
      <c r="F105" s="320"/>
      <c r="G105" s="260">
        <f t="shared" si="2"/>
        <v>-1</v>
      </c>
      <c r="H105" s="38"/>
      <c r="I105" s="38"/>
      <c r="J105"/>
      <c r="N105"/>
      <c r="P105"/>
      <c r="R105" s="129"/>
      <c r="S105"/>
      <c r="T105"/>
      <c r="U105"/>
    </row>
    <row r="106" spans="1:26" s="171" customFormat="1">
      <c r="A106" s="325"/>
      <c r="B106" s="323" t="s">
        <v>584</v>
      </c>
      <c r="C106" s="131">
        <v>7</v>
      </c>
      <c r="D106" s="236" t="s">
        <v>165</v>
      </c>
      <c r="E106" s="236">
        <f>IF(D106="yes",LOOKUP(C106,Y52:Y70,Z52:Z70),0)</f>
        <v>1024</v>
      </c>
      <c r="F106" s="323">
        <f xml:space="preserve"> SUM(E106:E107)</f>
        <v>1024</v>
      </c>
      <c r="G106" s="260">
        <f t="shared" si="2"/>
        <v>7</v>
      </c>
      <c r="H106" s="38"/>
      <c r="I106" s="38"/>
      <c r="J106"/>
      <c r="N106"/>
      <c r="P106"/>
      <c r="R106" s="129"/>
      <c r="S106"/>
      <c r="T106"/>
      <c r="U106"/>
    </row>
    <row r="107" spans="1:26" s="171" customFormat="1">
      <c r="A107" s="325"/>
      <c r="B107" s="323"/>
      <c r="C107" s="131">
        <v>18</v>
      </c>
      <c r="D107" s="241" t="s">
        <v>167</v>
      </c>
      <c r="E107" s="236">
        <f>IF(D107="yes",LOOKUP(C107,Y52:Y70,Z52:Z70),0)</f>
        <v>0</v>
      </c>
      <c r="F107" s="323"/>
      <c r="G107" s="260">
        <f t="shared" si="2"/>
        <v>-1</v>
      </c>
      <c r="H107" s="38"/>
      <c r="I107" s="38"/>
      <c r="J107"/>
      <c r="N107"/>
      <c r="P107"/>
      <c r="R107" s="129"/>
      <c r="S107"/>
      <c r="T107"/>
      <c r="U107"/>
    </row>
    <row r="108" spans="1:26" s="171" customFormat="1">
      <c r="A108" s="325"/>
      <c r="B108" s="320" t="s">
        <v>585</v>
      </c>
      <c r="C108" s="178">
        <v>8</v>
      </c>
      <c r="D108" s="234" t="s">
        <v>165</v>
      </c>
      <c r="E108" s="234">
        <f>IF(D108="yes",LOOKUP(C108,Y52:Y70,Z52:Z70),0)</f>
        <v>512</v>
      </c>
      <c r="F108" s="320">
        <f xml:space="preserve"> SUM(E108:E109)</f>
        <v>512</v>
      </c>
      <c r="G108" s="260">
        <f t="shared" si="2"/>
        <v>8</v>
      </c>
      <c r="H108" s="129"/>
      <c r="I108" s="129"/>
      <c r="R108" s="129"/>
    </row>
    <row r="109" spans="1:26" s="171" customFormat="1">
      <c r="A109" s="325"/>
      <c r="B109" s="320"/>
      <c r="C109" s="178">
        <v>15</v>
      </c>
      <c r="D109" s="234" t="s">
        <v>167</v>
      </c>
      <c r="E109" s="234">
        <f>IF(D109="yes",LOOKUP(C109,Y52:Y70,Z52:Z70),0)</f>
        <v>0</v>
      </c>
      <c r="F109" s="320"/>
      <c r="G109" s="260">
        <f t="shared" si="2"/>
        <v>-1</v>
      </c>
      <c r="H109" s="129"/>
      <c r="I109" s="129"/>
      <c r="R109" s="129"/>
    </row>
    <row r="110" spans="1:26" s="171" customFormat="1">
      <c r="A110" s="325"/>
      <c r="B110" s="323" t="s">
        <v>586</v>
      </c>
      <c r="C110" s="131">
        <v>9</v>
      </c>
      <c r="D110" s="236" t="s">
        <v>165</v>
      </c>
      <c r="E110" s="236">
        <f>IF(D110="yes",LOOKUP(C110,Y52:Y70,Z52:Z70),0)</f>
        <v>512</v>
      </c>
      <c r="F110" s="323">
        <f xml:space="preserve"> SUM(E110:E111)</f>
        <v>512</v>
      </c>
      <c r="G110" s="260">
        <f t="shared" si="2"/>
        <v>9</v>
      </c>
      <c r="H110" s="129"/>
      <c r="I110" s="129"/>
      <c r="R110" s="129"/>
    </row>
    <row r="111" spans="1:26" s="171" customFormat="1">
      <c r="A111" s="325"/>
      <c r="B111" s="323"/>
      <c r="C111" s="131">
        <v>16</v>
      </c>
      <c r="D111" s="259" t="s">
        <v>167</v>
      </c>
      <c r="E111" s="236">
        <f>IF(D111="yes",LOOKUP(C111,Y52:Y70,Z52:Z70),0)</f>
        <v>0</v>
      </c>
      <c r="F111" s="323"/>
      <c r="G111" s="260">
        <f t="shared" si="2"/>
        <v>-1</v>
      </c>
      <c r="H111" s="129"/>
      <c r="I111" s="129"/>
      <c r="R111" s="129"/>
    </row>
    <row r="112" spans="1:26" s="171" customFormat="1">
      <c r="A112" s="325"/>
      <c r="B112" s="320" t="s">
        <v>587</v>
      </c>
      <c r="C112" s="178">
        <v>10</v>
      </c>
      <c r="D112" s="234" t="s">
        <v>165</v>
      </c>
      <c r="E112" s="234">
        <f>IF(D112="yes",LOOKUP(C112,Y52:Y70,Z52:Z70),0)</f>
        <v>512</v>
      </c>
      <c r="F112" s="320">
        <f xml:space="preserve"> SUM(E112:E113)</f>
        <v>512</v>
      </c>
      <c r="G112" s="260">
        <f t="shared" si="2"/>
        <v>10</v>
      </c>
      <c r="H112" s="129"/>
      <c r="I112" s="129"/>
      <c r="R112" s="129"/>
    </row>
    <row r="113" spans="1:24" s="171" customFormat="1">
      <c r="A113" s="325"/>
      <c r="B113" s="320"/>
      <c r="C113" s="178">
        <v>17</v>
      </c>
      <c r="D113" s="234" t="s">
        <v>167</v>
      </c>
      <c r="E113" s="234">
        <f>IF(D113="yes",LOOKUP(C113,Y52:Y70,Z52:Z70),0)</f>
        <v>0</v>
      </c>
      <c r="F113" s="320"/>
      <c r="G113" s="260">
        <f t="shared" si="2"/>
        <v>-1</v>
      </c>
      <c r="H113" s="129"/>
      <c r="I113" s="129"/>
      <c r="R113" s="129"/>
    </row>
    <row r="114" spans="1:24" s="171" customFormat="1">
      <c r="A114" s="325"/>
      <c r="B114" s="323" t="s">
        <v>588</v>
      </c>
      <c r="C114" s="131">
        <v>11</v>
      </c>
      <c r="D114" s="236" t="s">
        <v>165</v>
      </c>
      <c r="E114" s="236">
        <f>IF(D114="yes",LOOKUP(C114,Y52:Y70,Z52:Z70),0)</f>
        <v>512</v>
      </c>
      <c r="F114" s="323">
        <f xml:space="preserve"> SUM(E114:E115)</f>
        <v>512</v>
      </c>
      <c r="G114" s="260">
        <f t="shared" si="2"/>
        <v>11</v>
      </c>
      <c r="H114" s="38"/>
      <c r="I114" s="38"/>
      <c r="J114"/>
      <c r="N114"/>
      <c r="P114"/>
      <c r="R114" s="129"/>
      <c r="S114"/>
      <c r="T114"/>
      <c r="U114"/>
    </row>
    <row r="115" spans="1:24" s="171" customFormat="1">
      <c r="A115" s="325"/>
      <c r="B115" s="323"/>
      <c r="C115" s="131">
        <v>18</v>
      </c>
      <c r="D115" s="236" t="s">
        <v>167</v>
      </c>
      <c r="E115" s="236">
        <f>IF(D115="yes",LOOKUP(C115,Y52:Y70,Z52:Z70),0)</f>
        <v>0</v>
      </c>
      <c r="F115" s="323"/>
      <c r="G115" s="260">
        <f t="shared" si="2"/>
        <v>-1</v>
      </c>
      <c r="H115" s="38"/>
      <c r="I115" s="38"/>
      <c r="J115"/>
      <c r="N115"/>
      <c r="P115"/>
      <c r="R115" s="129"/>
      <c r="S115"/>
      <c r="T115"/>
      <c r="U115"/>
    </row>
    <row r="116" spans="1:24" s="171" customFormat="1">
      <c r="A116" s="325"/>
      <c r="B116" s="230" t="s">
        <v>589</v>
      </c>
      <c r="C116" s="178">
        <v>12</v>
      </c>
      <c r="D116" s="234" t="s">
        <v>165</v>
      </c>
      <c r="E116" s="234">
        <f>IF(D116="yes",LOOKUP(C116,Y52:Y70,Z52:Z70),0)</f>
        <v>1024</v>
      </c>
      <c r="F116" s="234">
        <f xml:space="preserve"> SUM(E116)</f>
        <v>1024</v>
      </c>
      <c r="G116" s="260">
        <f t="shared" si="2"/>
        <v>12</v>
      </c>
      <c r="H116" s="38"/>
      <c r="I116" s="38"/>
      <c r="J116"/>
      <c r="N116"/>
      <c r="P116"/>
      <c r="R116" s="129"/>
      <c r="S116"/>
      <c r="T116"/>
      <c r="U116"/>
    </row>
    <row r="117" spans="1:24" s="171" customFormat="1">
      <c r="A117" s="325"/>
      <c r="B117" s="232" t="s">
        <v>590</v>
      </c>
      <c r="C117" s="131">
        <v>13</v>
      </c>
      <c r="D117" s="236" t="s">
        <v>165</v>
      </c>
      <c r="E117" s="236">
        <f>IF(D117="yes",LOOKUP(C117,Y52:Y70,Z52:Z70),0)</f>
        <v>1024</v>
      </c>
      <c r="F117" s="236">
        <f xml:space="preserve"> SUM(E117)</f>
        <v>1024</v>
      </c>
      <c r="G117" s="260">
        <f t="shared" si="2"/>
        <v>13</v>
      </c>
      <c r="H117" s="38"/>
      <c r="I117" s="38"/>
      <c r="J117"/>
      <c r="N117"/>
      <c r="P117"/>
      <c r="R117" s="129"/>
      <c r="S117"/>
      <c r="T117"/>
      <c r="U117"/>
    </row>
    <row r="118" spans="1:24" s="171" customFormat="1">
      <c r="A118" s="325"/>
      <c r="B118" s="225" t="s">
        <v>591</v>
      </c>
      <c r="C118" s="178">
        <v>14</v>
      </c>
      <c r="D118" s="234" t="s">
        <v>165</v>
      </c>
      <c r="E118" s="234">
        <f>IF(D118="yes",LOOKUP(C118,Y52:Y70,Z52:Z70),0)</f>
        <v>1024</v>
      </c>
      <c r="F118" s="234">
        <f>SUM(E118)</f>
        <v>1024</v>
      </c>
      <c r="G118" s="260">
        <f t="shared" si="2"/>
        <v>14</v>
      </c>
      <c r="H118" s="38"/>
      <c r="I118" s="38"/>
      <c r="J118"/>
      <c r="N118"/>
      <c r="P118"/>
      <c r="R118" s="129"/>
      <c r="S118"/>
      <c r="T118"/>
      <c r="U118"/>
    </row>
    <row r="119" spans="1:24" s="171" customFormat="1">
      <c r="B119" s="128"/>
      <c r="C119" s="38"/>
      <c r="D119" s="129"/>
      <c r="E119" s="129"/>
      <c r="F119" s="129"/>
      <c r="H119" s="38"/>
      <c r="I119" s="38"/>
      <c r="J119"/>
      <c r="N119"/>
      <c r="P119"/>
      <c r="R119" s="129"/>
      <c r="S119"/>
      <c r="T119"/>
      <c r="U119"/>
    </row>
    <row r="120" spans="1:24" s="171" customFormat="1">
      <c r="B120" s="128"/>
      <c r="C120" s="129"/>
      <c r="D120" s="129"/>
      <c r="E120" s="129"/>
      <c r="F120" s="129"/>
      <c r="I120"/>
      <c r="K120"/>
      <c r="M120" s="129"/>
      <c r="N120"/>
      <c r="O120"/>
      <c r="P120"/>
      <c r="T120"/>
      <c r="U120"/>
      <c r="V120"/>
      <c r="W120"/>
    </row>
    <row r="121" spans="1:24" s="171" customFormat="1">
      <c r="A121" s="141"/>
      <c r="B121" s="156" t="s">
        <v>159</v>
      </c>
      <c r="C121" s="156" t="s">
        <v>308</v>
      </c>
      <c r="D121" s="156" t="s">
        <v>160</v>
      </c>
      <c r="E121" s="156" t="s">
        <v>164</v>
      </c>
      <c r="F121" s="156" t="s">
        <v>114</v>
      </c>
      <c r="I121"/>
      <c r="K121"/>
      <c r="M121" s="129"/>
      <c r="N121"/>
      <c r="O121"/>
      <c r="P121"/>
      <c r="T121"/>
      <c r="U121"/>
      <c r="V121"/>
      <c r="W121"/>
    </row>
    <row r="122" spans="1:24" s="171" customFormat="1">
      <c r="A122" s="314" t="s">
        <v>606</v>
      </c>
      <c r="B122" s="317" t="s">
        <v>613</v>
      </c>
      <c r="C122" s="39">
        <v>0</v>
      </c>
      <c r="D122" s="317" t="s">
        <v>165</v>
      </c>
      <c r="E122" s="317">
        <f>IF(D122="yes",SUM(LOOKUP(C124,AC51:AC62,AD51:AD62),LOOKUP(C125,AC51:AC62,AD51:AD62)),0)</f>
        <v>2048</v>
      </c>
      <c r="F122" s="317">
        <f>SUM(E122:E133)</f>
        <v>8192</v>
      </c>
      <c r="G122" s="260">
        <f xml:space="preserve"> IF(D122 = "yes", C122, -1)</f>
        <v>0</v>
      </c>
      <c r="I122"/>
      <c r="K122"/>
      <c r="M122" s="129"/>
      <c r="N122"/>
      <c r="O122"/>
      <c r="P122"/>
      <c r="T122"/>
      <c r="U122"/>
      <c r="V122"/>
      <c r="W122"/>
    </row>
    <row r="123" spans="1:24" s="171" customFormat="1">
      <c r="A123" s="315"/>
      <c r="B123" s="319"/>
      <c r="C123" s="39">
        <v>1</v>
      </c>
      <c r="D123" s="318"/>
      <c r="E123" s="318"/>
      <c r="F123" s="319"/>
      <c r="G123" s="260">
        <f t="shared" ref="G123:G161" si="3" xml:space="preserve"> IF(D123 = "yes", C123, -1)</f>
        <v>-1</v>
      </c>
      <c r="I123"/>
      <c r="K123"/>
      <c r="M123" s="129"/>
      <c r="N123"/>
      <c r="O123"/>
      <c r="P123"/>
      <c r="T123"/>
      <c r="U123"/>
      <c r="V123"/>
      <c r="W123"/>
      <c r="X123"/>
    </row>
    <row r="124" spans="1:24" s="171" customFormat="1">
      <c r="A124" s="315"/>
      <c r="B124" s="319"/>
      <c r="C124" s="39">
        <v>2</v>
      </c>
      <c r="D124" s="317" t="s">
        <v>610</v>
      </c>
      <c r="E124" s="317">
        <f>IF(D124="yes",SUM(LOOKUP(C124,AC53:AC60,AD53:AD60),LOOKUP(C125,AC53:AC60,AD53:AD60)),0)</f>
        <v>2048</v>
      </c>
      <c r="F124" s="319"/>
      <c r="G124" s="260">
        <f t="shared" si="3"/>
        <v>2</v>
      </c>
      <c r="I124"/>
      <c r="K124"/>
      <c r="M124" s="129"/>
      <c r="N124"/>
      <c r="O124"/>
      <c r="P124"/>
      <c r="T124"/>
      <c r="U124"/>
      <c r="V124"/>
      <c r="W124"/>
      <c r="X124"/>
    </row>
    <row r="125" spans="1:24" s="171" customFormat="1">
      <c r="A125" s="315"/>
      <c r="B125" s="319"/>
      <c r="C125" s="39">
        <v>3</v>
      </c>
      <c r="D125" s="318"/>
      <c r="E125" s="318"/>
      <c r="F125" s="319"/>
      <c r="G125" s="260">
        <f t="shared" si="3"/>
        <v>-1</v>
      </c>
      <c r="H125" s="129"/>
      <c r="I125"/>
      <c r="K125"/>
      <c r="M125"/>
      <c r="N125"/>
      <c r="O125"/>
      <c r="P125"/>
      <c r="T125"/>
      <c r="U125"/>
      <c r="V125"/>
      <c r="W125"/>
      <c r="X125"/>
    </row>
    <row r="126" spans="1:24" s="171" customFormat="1">
      <c r="A126" s="315"/>
      <c r="B126" s="319"/>
      <c r="C126" s="39">
        <v>4</v>
      </c>
      <c r="D126" s="317" t="s">
        <v>165</v>
      </c>
      <c r="E126" s="317">
        <f>IF(D126="yes",SUM(LOOKUP(C126,AC55:AC62,AD55:AD62),LOOKUP(C127,AC55:AC62,AD55:AD62)),0)</f>
        <v>2048</v>
      </c>
      <c r="F126" s="319"/>
      <c r="G126" s="260">
        <f t="shared" si="3"/>
        <v>4</v>
      </c>
      <c r="H126" s="129"/>
      <c r="I126"/>
      <c r="K126"/>
      <c r="M126"/>
      <c r="N126"/>
      <c r="O126"/>
      <c r="P126"/>
      <c r="T126"/>
      <c r="U126"/>
      <c r="V126"/>
      <c r="W126"/>
      <c r="X126"/>
    </row>
    <row r="127" spans="1:24" s="171" customFormat="1">
      <c r="A127" s="315"/>
      <c r="B127" s="319"/>
      <c r="C127" s="39">
        <v>5</v>
      </c>
      <c r="D127" s="318"/>
      <c r="E127" s="318"/>
      <c r="F127" s="319"/>
      <c r="G127" s="260">
        <f t="shared" si="3"/>
        <v>-1</v>
      </c>
      <c r="H127" s="129"/>
      <c r="I127"/>
      <c r="K127"/>
      <c r="M127"/>
      <c r="N127"/>
      <c r="O127"/>
      <c r="P127"/>
      <c r="T127"/>
      <c r="U127"/>
      <c r="V127"/>
      <c r="W127"/>
      <c r="X127"/>
    </row>
    <row r="128" spans="1:24" s="171" customFormat="1">
      <c r="A128" s="315"/>
      <c r="B128" s="319"/>
      <c r="C128" s="39">
        <v>6</v>
      </c>
      <c r="D128" s="317" t="s">
        <v>165</v>
      </c>
      <c r="E128" s="317">
        <f>IF(D128="yes",SUM(LOOKUP(C128,AC57:AC62,AD57:AD62),LOOKUP(C129,AC57:AC62,AD57:AD62)),0)</f>
        <v>2048</v>
      </c>
      <c r="F128" s="319"/>
      <c r="G128" s="260">
        <f t="shared" si="3"/>
        <v>6</v>
      </c>
      <c r="H128" s="129"/>
      <c r="I128"/>
      <c r="K128"/>
      <c r="M128"/>
      <c r="N128"/>
      <c r="O128"/>
      <c r="P128"/>
      <c r="T128"/>
      <c r="U128"/>
      <c r="V128"/>
      <c r="W128"/>
      <c r="X128"/>
    </row>
    <row r="129" spans="1:24" s="171" customFormat="1">
      <c r="A129" s="315"/>
      <c r="B129" s="319"/>
      <c r="C129" s="39">
        <v>7</v>
      </c>
      <c r="D129" s="318"/>
      <c r="E129" s="318"/>
      <c r="F129" s="319"/>
      <c r="G129" s="260">
        <f t="shared" si="3"/>
        <v>-1</v>
      </c>
      <c r="H129" s="129"/>
      <c r="I129"/>
      <c r="K129"/>
      <c r="M129"/>
      <c r="N129"/>
      <c r="O129"/>
      <c r="P129"/>
      <c r="T129"/>
      <c r="U129"/>
      <c r="V129"/>
      <c r="W129"/>
      <c r="X129"/>
    </row>
    <row r="130" spans="1:24" s="171" customFormat="1">
      <c r="A130" s="315"/>
      <c r="B130" s="319"/>
      <c r="C130" s="39">
        <v>8</v>
      </c>
      <c r="D130" s="317" t="s">
        <v>167</v>
      </c>
      <c r="E130" s="317">
        <f>IF(D130="yes",SUM(LOOKUP(C130,AC59:AC62,AD59:AD62),LOOKUP(C131,AC59:AC62,AD59:AD62)),0)</f>
        <v>0</v>
      </c>
      <c r="F130" s="319"/>
      <c r="G130" s="260">
        <f t="shared" si="3"/>
        <v>-1</v>
      </c>
      <c r="H130" s="129"/>
      <c r="I130"/>
      <c r="K130"/>
      <c r="M130"/>
      <c r="N130"/>
      <c r="O130"/>
      <c r="P130"/>
      <c r="T130"/>
      <c r="U130"/>
      <c r="V130"/>
      <c r="W130"/>
      <c r="X130"/>
    </row>
    <row r="131" spans="1:24" s="171" customFormat="1">
      <c r="A131" s="315"/>
      <c r="B131" s="319"/>
      <c r="C131" s="39">
        <v>9</v>
      </c>
      <c r="D131" s="318"/>
      <c r="E131" s="318"/>
      <c r="F131" s="319"/>
      <c r="G131" s="260">
        <f t="shared" si="3"/>
        <v>-1</v>
      </c>
      <c r="H131" s="129"/>
      <c r="I131"/>
      <c r="K131"/>
      <c r="M131"/>
      <c r="N131"/>
      <c r="O131"/>
      <c r="P131"/>
      <c r="T131"/>
      <c r="U131"/>
      <c r="V131"/>
      <c r="W131"/>
      <c r="X131"/>
    </row>
    <row r="132" spans="1:24" s="171" customFormat="1">
      <c r="A132" s="315"/>
      <c r="B132" s="319"/>
      <c r="C132" s="39">
        <v>10</v>
      </c>
      <c r="D132" s="317" t="s">
        <v>167</v>
      </c>
      <c r="E132" s="317">
        <f>IF(D132="yes",SUM(LOOKUP(C132,AC61:AC72,AD61:AD72),LOOKUP(C133,AC61:AC72,AD61:AD72)),0)</f>
        <v>0</v>
      </c>
      <c r="F132" s="319"/>
      <c r="G132" s="260">
        <f t="shared" si="3"/>
        <v>-1</v>
      </c>
      <c r="H132" s="129"/>
      <c r="I132"/>
      <c r="K132"/>
      <c r="M132"/>
      <c r="N132"/>
      <c r="O132"/>
      <c r="P132"/>
      <c r="T132"/>
      <c r="U132"/>
      <c r="V132"/>
      <c r="W132"/>
      <c r="X132"/>
    </row>
    <row r="133" spans="1:24" s="171" customFormat="1">
      <c r="A133" s="315"/>
      <c r="B133" s="318"/>
      <c r="C133" s="39">
        <v>11</v>
      </c>
      <c r="D133" s="318"/>
      <c r="E133" s="318"/>
      <c r="F133" s="318"/>
      <c r="G133" s="260">
        <f t="shared" si="3"/>
        <v>-1</v>
      </c>
      <c r="H133" s="129"/>
      <c r="I133"/>
      <c r="K133"/>
      <c r="M133"/>
      <c r="N133"/>
      <c r="O133"/>
      <c r="P133"/>
      <c r="T133"/>
      <c r="U133"/>
      <c r="V133"/>
      <c r="W133"/>
      <c r="X133"/>
    </row>
    <row r="134" spans="1:24" s="171" customFormat="1">
      <c r="A134" s="315"/>
      <c r="B134" s="301" t="s">
        <v>614</v>
      </c>
      <c r="C134" s="236">
        <v>0</v>
      </c>
      <c r="D134" s="301" t="s">
        <v>662</v>
      </c>
      <c r="E134" s="301">
        <f>IF(D134="yes",SUM(LOOKUP(C134,AC51:AC62,AD51:AD62),LOOKUP(C134,AC51:AC62,AD51:AD62)),0)</f>
        <v>0</v>
      </c>
      <c r="F134" s="301">
        <f t="shared" ref="F134" si="4">SUM(E134:E145)</f>
        <v>0</v>
      </c>
      <c r="G134" s="260">
        <f t="shared" si="3"/>
        <v>-1</v>
      </c>
      <c r="H134" s="129"/>
      <c r="I134"/>
      <c r="K134"/>
      <c r="M134"/>
      <c r="N134"/>
      <c r="O134"/>
      <c r="P134"/>
      <c r="T134"/>
      <c r="U134"/>
      <c r="V134"/>
      <c r="W134"/>
      <c r="X134"/>
    </row>
    <row r="135" spans="1:24" s="171" customFormat="1">
      <c r="A135" s="315"/>
      <c r="B135" s="302"/>
      <c r="C135" s="236">
        <v>1</v>
      </c>
      <c r="D135" s="303"/>
      <c r="E135" s="303"/>
      <c r="F135" s="302"/>
      <c r="G135" s="260">
        <f t="shared" si="3"/>
        <v>-1</v>
      </c>
      <c r="H135" s="129"/>
      <c r="I135"/>
      <c r="K135"/>
      <c r="M135"/>
      <c r="N135"/>
      <c r="O135"/>
      <c r="P135"/>
      <c r="T135"/>
      <c r="U135"/>
      <c r="V135"/>
      <c r="W135"/>
      <c r="X135"/>
    </row>
    <row r="136" spans="1:24" s="171" customFormat="1">
      <c r="A136" s="315"/>
      <c r="B136" s="302"/>
      <c r="C136" s="236">
        <v>2</v>
      </c>
      <c r="D136" s="301" t="s">
        <v>167</v>
      </c>
      <c r="E136" s="301">
        <f>IF(D136="yes",SUM(LOOKUP(C136,AC53:AC64,AD53:AD64),LOOKUP(C136,AC53:AC64,AD53:AD64)),0)</f>
        <v>0</v>
      </c>
      <c r="F136" s="302"/>
      <c r="G136" s="260">
        <f t="shared" si="3"/>
        <v>-1</v>
      </c>
      <c r="H136" s="129"/>
      <c r="I136"/>
      <c r="K136"/>
      <c r="M136"/>
      <c r="N136"/>
      <c r="O136"/>
      <c r="P136"/>
      <c r="T136"/>
      <c r="U136"/>
      <c r="V136"/>
      <c r="W136"/>
      <c r="X136"/>
    </row>
    <row r="137" spans="1:24" s="171" customFormat="1">
      <c r="A137" s="315"/>
      <c r="B137" s="302"/>
      <c r="C137" s="236">
        <v>3</v>
      </c>
      <c r="D137" s="303"/>
      <c r="E137" s="303"/>
      <c r="F137" s="302"/>
      <c r="G137" s="260">
        <f t="shared" si="3"/>
        <v>-1</v>
      </c>
      <c r="H137" s="129"/>
      <c r="I137"/>
      <c r="K137"/>
      <c r="M137"/>
      <c r="N137"/>
      <c r="O137"/>
      <c r="P137"/>
      <c r="T137"/>
      <c r="U137"/>
      <c r="V137"/>
      <c r="W137"/>
      <c r="X137"/>
    </row>
    <row r="138" spans="1:24" s="171" customFormat="1">
      <c r="A138" s="315"/>
      <c r="B138" s="302"/>
      <c r="C138" s="236">
        <v>4</v>
      </c>
      <c r="D138" s="301" t="s">
        <v>167</v>
      </c>
      <c r="E138" s="301">
        <f>IF(D138="yes",SUM(LOOKUP(C138,AC55:AC66,AD55:AD66),LOOKUP(C138,AC55:AC66,AD55:AD66)),0)</f>
        <v>0</v>
      </c>
      <c r="F138" s="302"/>
      <c r="G138" s="260">
        <f t="shared" si="3"/>
        <v>-1</v>
      </c>
      <c r="H138" s="129"/>
      <c r="I138"/>
      <c r="K138"/>
      <c r="M138"/>
      <c r="N138"/>
      <c r="O138"/>
      <c r="P138"/>
      <c r="T138"/>
      <c r="U138"/>
      <c r="V138"/>
      <c r="W138"/>
      <c r="X138"/>
    </row>
    <row r="139" spans="1:24" s="171" customFormat="1">
      <c r="A139" s="315"/>
      <c r="B139" s="302"/>
      <c r="C139" s="236">
        <v>5</v>
      </c>
      <c r="D139" s="303"/>
      <c r="E139" s="303"/>
      <c r="F139" s="302"/>
      <c r="G139" s="260">
        <f t="shared" si="3"/>
        <v>-1</v>
      </c>
      <c r="H139" s="129"/>
      <c r="I139"/>
      <c r="K139"/>
      <c r="M139"/>
      <c r="N139"/>
      <c r="O139"/>
      <c r="P139"/>
      <c r="T139"/>
      <c r="U139"/>
      <c r="V139"/>
      <c r="W139"/>
      <c r="X139"/>
    </row>
    <row r="140" spans="1:24" s="171" customFormat="1">
      <c r="A140" s="315"/>
      <c r="B140" s="302"/>
      <c r="C140" s="236">
        <v>6</v>
      </c>
      <c r="D140" s="301" t="s">
        <v>167</v>
      </c>
      <c r="E140" s="301">
        <f>IF(D140="yes",SUM(LOOKUP(C140,AC57:AC68,AD57:AD68),LOOKUP(C140,AC57:AC68,AD57:AD68)),0)</f>
        <v>0</v>
      </c>
      <c r="F140" s="302"/>
      <c r="G140" s="260">
        <f t="shared" si="3"/>
        <v>-1</v>
      </c>
      <c r="H140" s="129"/>
      <c r="I140"/>
      <c r="K140"/>
      <c r="M140"/>
      <c r="N140"/>
      <c r="O140"/>
      <c r="P140"/>
      <c r="T140"/>
      <c r="U140"/>
      <c r="V140"/>
      <c r="W140"/>
      <c r="X140"/>
    </row>
    <row r="141" spans="1:24" s="171" customFormat="1">
      <c r="A141" s="315"/>
      <c r="B141" s="302"/>
      <c r="C141" s="236">
        <v>7</v>
      </c>
      <c r="D141" s="303"/>
      <c r="E141" s="303"/>
      <c r="F141" s="302"/>
      <c r="G141" s="260">
        <f t="shared" si="3"/>
        <v>-1</v>
      </c>
      <c r="H141" s="129"/>
      <c r="I141"/>
      <c r="K141"/>
      <c r="M141"/>
      <c r="N141"/>
      <c r="O141"/>
      <c r="P141"/>
      <c r="T141"/>
      <c r="U141"/>
      <c r="V141"/>
      <c r="W141"/>
      <c r="X141"/>
    </row>
    <row r="142" spans="1:24" s="171" customFormat="1">
      <c r="A142" s="315"/>
      <c r="B142" s="302"/>
      <c r="C142" s="236">
        <v>8</v>
      </c>
      <c r="D142" s="301" t="s">
        <v>167</v>
      </c>
      <c r="E142" s="301">
        <f>IF(D142="yes",SUM(LOOKUP(C142,AC59:AC70,AD59:AD70),LOOKUP(C142,AC59:AC70,AD59:AD70)),0)</f>
        <v>0</v>
      </c>
      <c r="F142" s="302"/>
      <c r="G142" s="260">
        <f t="shared" si="3"/>
        <v>-1</v>
      </c>
      <c r="H142" s="129"/>
      <c r="I142"/>
      <c r="K142"/>
      <c r="M142"/>
      <c r="N142"/>
      <c r="O142"/>
      <c r="P142"/>
      <c r="T142"/>
      <c r="U142"/>
      <c r="V142"/>
      <c r="W142"/>
      <c r="X142"/>
    </row>
    <row r="143" spans="1:24" s="171" customFormat="1">
      <c r="A143" s="315"/>
      <c r="B143" s="302"/>
      <c r="C143" s="236">
        <v>9</v>
      </c>
      <c r="D143" s="303"/>
      <c r="E143" s="303"/>
      <c r="F143" s="302"/>
      <c r="G143" s="260">
        <f t="shared" si="3"/>
        <v>-1</v>
      </c>
      <c r="H143" s="129"/>
      <c r="I143"/>
      <c r="K143"/>
      <c r="M143"/>
      <c r="N143"/>
      <c r="O143"/>
      <c r="P143"/>
      <c r="T143"/>
      <c r="U143"/>
      <c r="V143"/>
      <c r="W143"/>
      <c r="X143"/>
    </row>
    <row r="144" spans="1:24" s="171" customFormat="1">
      <c r="A144" s="315"/>
      <c r="B144" s="302"/>
      <c r="C144" s="236">
        <v>10</v>
      </c>
      <c r="D144" s="301" t="s">
        <v>167</v>
      </c>
      <c r="E144" s="301">
        <f>IF(D144="yes",SUM(LOOKUP(C144,AC61:AC72,AD61:AD72),LOOKUP(C144,AC61:AC72,AD61:AD72)),0)</f>
        <v>0</v>
      </c>
      <c r="F144" s="302"/>
      <c r="G144" s="260">
        <f t="shared" si="3"/>
        <v>-1</v>
      </c>
      <c r="H144" s="38"/>
      <c r="I144" s="38"/>
      <c r="J144"/>
      <c r="N144"/>
      <c r="P144"/>
      <c r="R144" s="129"/>
      <c r="S144"/>
      <c r="T144"/>
      <c r="U144"/>
      <c r="X144"/>
    </row>
    <row r="145" spans="1:26" s="171" customFormat="1">
      <c r="A145" s="315"/>
      <c r="B145" s="303"/>
      <c r="C145" s="236">
        <v>11</v>
      </c>
      <c r="D145" s="303"/>
      <c r="E145" s="303"/>
      <c r="F145" s="303"/>
      <c r="G145" s="260">
        <f t="shared" si="3"/>
        <v>-1</v>
      </c>
      <c r="H145" s="38"/>
      <c r="I145" s="38"/>
      <c r="J145"/>
      <c r="N145"/>
      <c r="P145"/>
      <c r="R145" s="129"/>
      <c r="S145"/>
      <c r="T145"/>
      <c r="U145"/>
      <c r="X145"/>
    </row>
    <row r="146" spans="1:26" s="171" customFormat="1">
      <c r="A146" s="315"/>
      <c r="B146" s="317" t="s">
        <v>612</v>
      </c>
      <c r="C146" s="39">
        <v>0</v>
      </c>
      <c r="D146" s="317" t="s">
        <v>605</v>
      </c>
      <c r="E146" s="317">
        <f>IF(D146="yes",SUM(LOOKUP(C146,AC51:AC62,AD51:AD62),LOOKUP(C134,AC51:AC62,AD51:AD62)),0)</f>
        <v>0</v>
      </c>
      <c r="F146" s="317">
        <f t="shared" ref="F146" si="5">SUM(E146:E157)</f>
        <v>8192</v>
      </c>
      <c r="G146" s="260">
        <f t="shared" si="3"/>
        <v>-1</v>
      </c>
      <c r="H146" s="38"/>
      <c r="I146" s="38"/>
      <c r="J146"/>
      <c r="N146"/>
      <c r="P146"/>
      <c r="R146" s="129"/>
      <c r="S146"/>
      <c r="T146"/>
      <c r="U146"/>
      <c r="X146"/>
    </row>
    <row r="147" spans="1:26" s="171" customFormat="1">
      <c r="A147" s="315"/>
      <c r="B147" s="319"/>
      <c r="C147" s="39">
        <v>1</v>
      </c>
      <c r="D147" s="318"/>
      <c r="E147" s="318"/>
      <c r="F147" s="319"/>
      <c r="G147" s="260">
        <f t="shared" si="3"/>
        <v>-1</v>
      </c>
      <c r="H147" s="38"/>
      <c r="I147" s="38"/>
      <c r="J147"/>
      <c r="N147"/>
      <c r="P147"/>
      <c r="R147" s="129"/>
      <c r="S147"/>
      <c r="T147"/>
      <c r="U147"/>
    </row>
    <row r="148" spans="1:26" s="171" customFormat="1">
      <c r="A148" s="315"/>
      <c r="B148" s="319"/>
      <c r="C148" s="39">
        <v>2</v>
      </c>
      <c r="D148" s="317" t="s">
        <v>313</v>
      </c>
      <c r="E148" s="317">
        <f>IF(D148="yes",SUM(LOOKUP(C148,AC53:AC64,AD53:AD64),LOOKUP(C136,AC53:AC64,AD53:AD64)),0)</f>
        <v>0</v>
      </c>
      <c r="F148" s="319"/>
      <c r="G148" s="260">
        <f t="shared" si="3"/>
        <v>-1</v>
      </c>
      <c r="J148"/>
      <c r="L148"/>
      <c r="N148" s="129"/>
      <c r="O148"/>
      <c r="P148"/>
      <c r="Q148"/>
      <c r="R148"/>
      <c r="S148"/>
      <c r="T148"/>
    </row>
    <row r="149" spans="1:26" s="171" customFormat="1">
      <c r="A149" s="315"/>
      <c r="B149" s="319"/>
      <c r="C149" s="39">
        <v>3</v>
      </c>
      <c r="D149" s="318"/>
      <c r="E149" s="318"/>
      <c r="F149" s="319"/>
      <c r="G149" s="260">
        <f t="shared" si="3"/>
        <v>-1</v>
      </c>
      <c r="J149"/>
      <c r="L149"/>
      <c r="N149" s="129"/>
      <c r="O149"/>
      <c r="P149"/>
      <c r="Q149"/>
      <c r="R149"/>
      <c r="S149"/>
      <c r="T149"/>
    </row>
    <row r="150" spans="1:26" s="171" customFormat="1">
      <c r="A150" s="315"/>
      <c r="B150" s="319"/>
      <c r="C150" s="39">
        <v>4</v>
      </c>
      <c r="D150" s="317" t="s">
        <v>167</v>
      </c>
      <c r="E150" s="317">
        <f>IF(D150="yes",SUM(LOOKUP(C150,AC55:AC66,AD55:AD66),LOOKUP(C138,AC55:AC66,AD55:AD66)),0)</f>
        <v>0</v>
      </c>
      <c r="F150" s="319"/>
      <c r="G150" s="260">
        <f t="shared" si="3"/>
        <v>-1</v>
      </c>
      <c r="N150" s="129"/>
    </row>
    <row r="151" spans="1:26" s="171" customFormat="1">
      <c r="A151" s="315"/>
      <c r="B151" s="319"/>
      <c r="C151" s="39">
        <v>5</v>
      </c>
      <c r="D151" s="318"/>
      <c r="E151" s="318"/>
      <c r="F151" s="319"/>
      <c r="G151" s="260">
        <f t="shared" si="3"/>
        <v>-1</v>
      </c>
      <c r="N151" s="129"/>
    </row>
    <row r="152" spans="1:26">
      <c r="A152" s="315"/>
      <c r="B152" s="319"/>
      <c r="C152" s="39">
        <v>6</v>
      </c>
      <c r="D152" s="317" t="s">
        <v>617</v>
      </c>
      <c r="E152" s="317">
        <f>IF(D152="yes",SUM(LOOKUP(C152,AC57:AC68,AD57:AD68),LOOKUP(C140,AC57:AC68,AD57:AD68)),0)</f>
        <v>0</v>
      </c>
      <c r="F152" s="319"/>
      <c r="G152" s="260">
        <f t="shared" si="3"/>
        <v>-1</v>
      </c>
      <c r="J152" s="171"/>
      <c r="Y152" s="171"/>
      <c r="Z152" s="171"/>
    </row>
    <row r="153" spans="1:26">
      <c r="A153" s="315"/>
      <c r="B153" s="319"/>
      <c r="C153" s="39">
        <v>7</v>
      </c>
      <c r="D153" s="318"/>
      <c r="E153" s="318"/>
      <c r="F153" s="319"/>
      <c r="G153" s="260">
        <f t="shared" si="3"/>
        <v>-1</v>
      </c>
      <c r="Y153" s="171"/>
      <c r="Z153" s="171"/>
    </row>
    <row r="154" spans="1:26">
      <c r="A154" s="315"/>
      <c r="B154" s="319"/>
      <c r="C154" s="39">
        <v>8</v>
      </c>
      <c r="D154" s="317" t="s">
        <v>616</v>
      </c>
      <c r="E154" s="317">
        <f>IF(D154="yes",SUM(LOOKUP(C154,AC59:AC70,AD59:AD70),LOOKUP(C142,AC59:AC70,AD59:AD70)),0)</f>
        <v>4096</v>
      </c>
      <c r="F154" s="319"/>
      <c r="G154" s="260">
        <f t="shared" si="3"/>
        <v>8</v>
      </c>
      <c r="Y154" s="171"/>
      <c r="Z154" s="171"/>
    </row>
    <row r="155" spans="1:26">
      <c r="A155" s="315"/>
      <c r="B155" s="319"/>
      <c r="C155" s="39">
        <v>9</v>
      </c>
      <c r="D155" s="318"/>
      <c r="E155" s="318"/>
      <c r="F155" s="319"/>
      <c r="G155" s="260">
        <f t="shared" si="3"/>
        <v>-1</v>
      </c>
    </row>
    <row r="156" spans="1:26">
      <c r="A156" s="315"/>
      <c r="B156" s="319"/>
      <c r="C156" s="39">
        <v>10</v>
      </c>
      <c r="D156" s="317" t="s">
        <v>616</v>
      </c>
      <c r="E156" s="317">
        <f>IF(D156="yes",SUM(LOOKUP(C156,AC61:AC72,AD61:AD72),LOOKUP(C144,AC61:AC72,AD61:AD72)),0)</f>
        <v>4096</v>
      </c>
      <c r="F156" s="319"/>
      <c r="G156" s="260">
        <f t="shared" si="3"/>
        <v>10</v>
      </c>
    </row>
    <row r="157" spans="1:26">
      <c r="A157" s="315"/>
      <c r="B157" s="318"/>
      <c r="C157" s="39">
        <v>11</v>
      </c>
      <c r="D157" s="318"/>
      <c r="E157" s="318"/>
      <c r="F157" s="318"/>
      <c r="G157" s="260">
        <f t="shared" si="3"/>
        <v>-1</v>
      </c>
    </row>
    <row r="158" spans="1:26">
      <c r="A158" s="314" t="s">
        <v>609</v>
      </c>
      <c r="B158" s="302" t="s">
        <v>608</v>
      </c>
      <c r="C158" s="239">
        <v>8</v>
      </c>
      <c r="D158" s="302" t="s">
        <v>313</v>
      </c>
      <c r="E158" s="302">
        <f>IF(D158="yes",4096,0)</f>
        <v>0</v>
      </c>
      <c r="F158" s="302">
        <f>E158</f>
        <v>0</v>
      </c>
      <c r="G158" s="260">
        <f t="shared" si="3"/>
        <v>-1</v>
      </c>
    </row>
    <row r="159" spans="1:26">
      <c r="A159" s="315"/>
      <c r="B159" s="302"/>
      <c r="C159" s="239">
        <v>9</v>
      </c>
      <c r="D159" s="302"/>
      <c r="E159" s="302"/>
      <c r="F159" s="302"/>
      <c r="G159" s="260">
        <f t="shared" si="3"/>
        <v>-1</v>
      </c>
    </row>
    <row r="160" spans="1:26">
      <c r="A160" s="315"/>
      <c r="B160" s="302"/>
      <c r="C160" s="239">
        <v>10</v>
      </c>
      <c r="D160" s="302"/>
      <c r="E160" s="302"/>
      <c r="F160" s="302"/>
      <c r="G160" s="260">
        <f t="shared" si="3"/>
        <v>-1</v>
      </c>
    </row>
    <row r="161" spans="1:26">
      <c r="A161" s="316"/>
      <c r="B161" s="303"/>
      <c r="C161" s="239">
        <v>11</v>
      </c>
      <c r="D161" s="303"/>
      <c r="E161" s="303"/>
      <c r="F161" s="303"/>
      <c r="G161" s="260">
        <f t="shared" si="3"/>
        <v>-1</v>
      </c>
    </row>
    <row r="162" spans="1:26">
      <c r="A162" s="171"/>
      <c r="C162" s="129"/>
    </row>
    <row r="163" spans="1:26" s="171" customFormat="1">
      <c r="B163" s="128"/>
      <c r="C163" s="38"/>
      <c r="D163" s="129"/>
      <c r="E163" s="129"/>
      <c r="F163" s="129"/>
      <c r="Y163"/>
      <c r="Z163"/>
    </row>
    <row r="164" spans="1:26" s="171" customFormat="1">
      <c r="A164"/>
      <c r="B164" s="128"/>
      <c r="C164" s="38"/>
      <c r="D164" s="129"/>
      <c r="E164" s="129"/>
      <c r="F164" s="129"/>
      <c r="Y164"/>
      <c r="Z164"/>
    </row>
    <row r="165" spans="1:26" s="171" customFormat="1">
      <c r="A165"/>
      <c r="B165" s="128"/>
      <c r="C165" s="38"/>
      <c r="D165" s="129"/>
      <c r="E165" s="129"/>
      <c r="F165" s="129"/>
      <c r="Y165"/>
      <c r="Z165"/>
    </row>
    <row r="166" spans="1:26" s="171" customFormat="1">
      <c r="A166"/>
      <c r="B166" s="128"/>
      <c r="C166" s="38"/>
      <c r="D166" s="129"/>
      <c r="E166" s="129"/>
      <c r="F166" s="129"/>
    </row>
    <row r="167" spans="1:26" s="171" customFormat="1">
      <c r="A167"/>
      <c r="B167" s="128"/>
      <c r="C167" s="38"/>
      <c r="D167" s="129"/>
      <c r="E167" s="129"/>
      <c r="F167" s="129"/>
    </row>
    <row r="168" spans="1:26" s="171" customFormat="1">
      <c r="A168"/>
      <c r="B168" s="128"/>
      <c r="C168" s="38"/>
      <c r="D168" s="129"/>
      <c r="E168" s="129"/>
      <c r="F168" s="129"/>
    </row>
    <row r="169" spans="1:26">
      <c r="Y169" s="171"/>
      <c r="Z169" s="171"/>
    </row>
    <row r="170" spans="1:26">
      <c r="Y170" s="171"/>
      <c r="Z170" s="171"/>
    </row>
    <row r="171" spans="1:26">
      <c r="Y171" s="171"/>
      <c r="Z171" s="171"/>
    </row>
    <row r="174" spans="1:26">
      <c r="A174" s="171"/>
      <c r="B174" s="171"/>
      <c r="C174" s="171"/>
      <c r="D174" s="171"/>
      <c r="E174" s="171"/>
      <c r="F174" s="171"/>
    </row>
    <row r="175" spans="1:26" s="171" customFormat="1">
      <c r="Y175"/>
      <c r="Z175"/>
    </row>
    <row r="176" spans="1:26" s="171" customFormat="1">
      <c r="Y176"/>
      <c r="Z176"/>
    </row>
    <row r="177" spans="1:26" s="171" customFormat="1">
      <c r="Y177"/>
      <c r="Z177"/>
    </row>
    <row r="178" spans="1:26" s="171" customFormat="1"/>
    <row r="179" spans="1:26" s="171" customFormat="1"/>
    <row r="180" spans="1:26" s="171" customFormat="1">
      <c r="A180"/>
      <c r="B180" s="128"/>
      <c r="C180" s="38"/>
      <c r="D180" s="129"/>
      <c r="E180" s="129"/>
      <c r="F180" s="129"/>
    </row>
    <row r="181" spans="1:26">
      <c r="Y181" s="171"/>
      <c r="Z181" s="171"/>
    </row>
    <row r="182" spans="1:26">
      <c r="Y182" s="171"/>
      <c r="Z182" s="171"/>
    </row>
    <row r="183" spans="1:26">
      <c r="Y183" s="171"/>
      <c r="Z183" s="171"/>
    </row>
    <row r="186" spans="1:26">
      <c r="A186" s="171"/>
      <c r="B186" s="171"/>
      <c r="C186" s="171"/>
      <c r="D186" s="171"/>
      <c r="E186" s="171"/>
      <c r="F186" s="171"/>
    </row>
    <row r="187" spans="1:26">
      <c r="A187" s="171"/>
      <c r="B187" s="171"/>
      <c r="C187" s="171"/>
      <c r="D187" s="171"/>
      <c r="E187" s="171"/>
      <c r="F187" s="171"/>
    </row>
    <row r="188" spans="1:26">
      <c r="A188" s="171"/>
      <c r="B188" s="171"/>
      <c r="C188" s="171"/>
      <c r="D188" s="171"/>
      <c r="E188" s="171"/>
      <c r="F188" s="171"/>
    </row>
    <row r="189" spans="1:26">
      <c r="A189" s="171"/>
      <c r="B189" s="171"/>
      <c r="C189" s="171"/>
      <c r="D189" s="171"/>
      <c r="E189" s="171"/>
      <c r="F189" s="171"/>
    </row>
    <row r="190" spans="1:26">
      <c r="A190" s="171"/>
      <c r="B190" s="171"/>
      <c r="C190" s="171"/>
      <c r="D190" s="171"/>
      <c r="E190" s="171"/>
      <c r="F190" s="171"/>
    </row>
    <row r="191" spans="1:26">
      <c r="A191" s="171"/>
      <c r="B191" s="171"/>
      <c r="C191" s="171"/>
      <c r="D191" s="171"/>
      <c r="E191" s="171"/>
      <c r="F191" s="171"/>
    </row>
    <row r="192" spans="1:26">
      <c r="G192" s="129"/>
    </row>
    <row r="193" spans="7:7">
      <c r="G193" s="129"/>
    </row>
    <row r="194" spans="7:7">
      <c r="G194" s="129"/>
    </row>
    <row r="195" spans="7:7">
      <c r="G195" s="129"/>
    </row>
    <row r="196" spans="7:7">
      <c r="G196" s="129"/>
    </row>
    <row r="197" spans="7:7">
      <c r="G197" s="129"/>
    </row>
    <row r="198" spans="7:7">
      <c r="G198" s="129"/>
    </row>
    <row r="199" spans="7:7">
      <c r="G199" s="129"/>
    </row>
    <row r="200" spans="7:7">
      <c r="G200" s="129"/>
    </row>
    <row r="201" spans="7:7">
      <c r="G201" s="129"/>
    </row>
    <row r="202" spans="7:7">
      <c r="G202" s="129"/>
    </row>
    <row r="203" spans="7:7">
      <c r="G203" s="129"/>
    </row>
    <row r="204" spans="7:7">
      <c r="G204" s="129"/>
    </row>
    <row r="205" spans="7:7">
      <c r="G205" s="129"/>
    </row>
    <row r="206" spans="7:7">
      <c r="G206" s="129"/>
    </row>
    <row r="207" spans="7:7">
      <c r="G207" s="129"/>
    </row>
    <row r="208" spans="7:7">
      <c r="G208" s="129"/>
    </row>
    <row r="209" spans="7:7">
      <c r="G209" s="129"/>
    </row>
    <row r="210" spans="7:7">
      <c r="G210" s="129"/>
    </row>
  </sheetData>
  <protectedRanges>
    <protectedRange sqref="AD3:AD23 C1 F1 D94:D118 D122:D161 D4:D85 D87" name="区域1"/>
  </protectedRanges>
  <mergeCells count="106">
    <mergeCell ref="A94:A118"/>
    <mergeCell ref="B108:B109"/>
    <mergeCell ref="F108:F109"/>
    <mergeCell ref="B54:B56"/>
    <mergeCell ref="F54:F56"/>
    <mergeCell ref="B57:B62"/>
    <mergeCell ref="F14:F23"/>
    <mergeCell ref="F57:F62"/>
    <mergeCell ref="B112:B113"/>
    <mergeCell ref="F112:F113"/>
    <mergeCell ref="B114:B115"/>
    <mergeCell ref="F114:F115"/>
    <mergeCell ref="F79:F83"/>
    <mergeCell ref="B64:B70"/>
    <mergeCell ref="F64:F70"/>
    <mergeCell ref="B76:B78"/>
    <mergeCell ref="F76:F78"/>
    <mergeCell ref="B49:B53"/>
    <mergeCell ref="F49:F53"/>
    <mergeCell ref="A4:A87"/>
    <mergeCell ref="E124:E125"/>
    <mergeCell ref="F98:F99"/>
    <mergeCell ref="B100:B101"/>
    <mergeCell ref="F100:F101"/>
    <mergeCell ref="B71:B75"/>
    <mergeCell ref="F71:F75"/>
    <mergeCell ref="B96:B97"/>
    <mergeCell ref="F96:F97"/>
    <mergeCell ref="B84:B87"/>
    <mergeCell ref="F84:F87"/>
    <mergeCell ref="B106:B107"/>
    <mergeCell ref="F106:F107"/>
    <mergeCell ref="F122:F133"/>
    <mergeCell ref="B104:B105"/>
    <mergeCell ref="F104:F105"/>
    <mergeCell ref="B110:B111"/>
    <mergeCell ref="F110:F111"/>
    <mergeCell ref="G89:G90"/>
    <mergeCell ref="H89:H90"/>
    <mergeCell ref="H91:H92"/>
    <mergeCell ref="G91:G92"/>
    <mergeCell ref="B79:B83"/>
    <mergeCell ref="B98:B99"/>
    <mergeCell ref="B102:B103"/>
    <mergeCell ref="F102:F103"/>
    <mergeCell ref="B4:B8"/>
    <mergeCell ref="B12:B13"/>
    <mergeCell ref="B24:B29"/>
    <mergeCell ref="B30:B31"/>
    <mergeCell ref="F4:F8"/>
    <mergeCell ref="F12:F13"/>
    <mergeCell ref="F24:F29"/>
    <mergeCell ref="F30:F31"/>
    <mergeCell ref="B9:B11"/>
    <mergeCell ref="F9:F11"/>
    <mergeCell ref="B14:B23"/>
    <mergeCell ref="B134:B145"/>
    <mergeCell ref="D124:D125"/>
    <mergeCell ref="D126:D127"/>
    <mergeCell ref="D128:D129"/>
    <mergeCell ref="D130:D131"/>
    <mergeCell ref="D132:D133"/>
    <mergeCell ref="B122:B133"/>
    <mergeCell ref="E128:E129"/>
    <mergeCell ref="E130:E131"/>
    <mergeCell ref="E132:E133"/>
    <mergeCell ref="D122:D123"/>
    <mergeCell ref="E122:E123"/>
    <mergeCell ref="E142:E143"/>
    <mergeCell ref="E144:E145"/>
    <mergeCell ref="E140:E141"/>
    <mergeCell ref="E126:E127"/>
    <mergeCell ref="F158:F161"/>
    <mergeCell ref="E146:E147"/>
    <mergeCell ref="D148:D149"/>
    <mergeCell ref="E148:E149"/>
    <mergeCell ref="D150:D151"/>
    <mergeCell ref="E150:E151"/>
    <mergeCell ref="D152:D153"/>
    <mergeCell ref="E152:E153"/>
    <mergeCell ref="F146:F157"/>
    <mergeCell ref="D146:D147"/>
    <mergeCell ref="D154:D155"/>
    <mergeCell ref="F134:F145"/>
    <mergeCell ref="B40:B47"/>
    <mergeCell ref="B33:B39"/>
    <mergeCell ref="F40:F47"/>
    <mergeCell ref="F33:F39"/>
    <mergeCell ref="A122:A157"/>
    <mergeCell ref="A158:A161"/>
    <mergeCell ref="B158:B161"/>
    <mergeCell ref="E154:E155"/>
    <mergeCell ref="D156:D157"/>
    <mergeCell ref="E156:E157"/>
    <mergeCell ref="B146:B157"/>
    <mergeCell ref="D158:D161"/>
    <mergeCell ref="E158:E161"/>
    <mergeCell ref="D134:D135"/>
    <mergeCell ref="D136:D137"/>
    <mergeCell ref="D138:D139"/>
    <mergeCell ref="D140:D141"/>
    <mergeCell ref="D142:D143"/>
    <mergeCell ref="D144:D145"/>
    <mergeCell ref="E134:E135"/>
    <mergeCell ref="E136:E137"/>
    <mergeCell ref="E138:E139"/>
  </mergeCells>
  <phoneticPr fontId="1" type="noConversion"/>
  <conditionalFormatting sqref="C4:C87">
    <cfRule type="expression" dxfId="247" priority="1" stopIfTrue="1">
      <formula>IF($G4&lt;&gt;-1,COUNTIF($G$4:$G$87,$G4),0)&gt;1</formula>
    </cfRule>
  </conditionalFormatting>
  <conditionalFormatting sqref="C94:C118">
    <cfRule type="expression" dxfId="246" priority="2" stopIfTrue="1">
      <formula>IF($G94&lt;&gt;-1,COUNTIF($G$94:$G$118,$G94),0)&gt;1</formula>
    </cfRule>
  </conditionalFormatting>
  <conditionalFormatting sqref="C122:C161">
    <cfRule type="expression" dxfId="245" priority="3" stopIfTrue="1">
      <formula>IF($G122&lt;&gt;-1,COUNTIF($G$122:$G$161,$G122),0)&gt;1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control shapeId="5127" r:id="rId4" name="CommandButton2"/>
    <control shapeId="5125" r:id="rId5" name="CommandButton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/>
  <dimension ref="A2:G16"/>
  <sheetViews>
    <sheetView topLeftCell="A37" workbookViewId="0">
      <selection activeCell="E20" sqref="E20"/>
    </sheetView>
  </sheetViews>
  <sheetFormatPr defaultRowHeight="13.5"/>
  <cols>
    <col min="2" max="2" width="24.25" customWidth="1"/>
    <col min="5" max="5" width="9" style="171"/>
    <col min="6" max="6" width="21.75" customWidth="1"/>
  </cols>
  <sheetData>
    <row r="2" spans="1:7">
      <c r="A2" s="327" t="s">
        <v>593</v>
      </c>
      <c r="B2" s="141" t="s">
        <v>317</v>
      </c>
      <c r="C2" s="141">
        <v>32768</v>
      </c>
      <c r="E2" s="328" t="s">
        <v>594</v>
      </c>
      <c r="F2" s="141" t="s">
        <v>595</v>
      </c>
      <c r="G2" s="141">
        <v>8192</v>
      </c>
    </row>
    <row r="3" spans="1:7">
      <c r="A3" s="327"/>
      <c r="B3" s="141" t="s">
        <v>318</v>
      </c>
      <c r="C3" s="141">
        <v>2048</v>
      </c>
      <c r="E3" s="327"/>
      <c r="F3" s="141" t="s">
        <v>618</v>
      </c>
      <c r="G3" s="141">
        <v>16016</v>
      </c>
    </row>
    <row r="4" spans="1:7">
      <c r="A4" s="327"/>
      <c r="B4" s="141" t="s">
        <v>319</v>
      </c>
      <c r="C4" s="141">
        <v>49152</v>
      </c>
      <c r="E4" s="327"/>
      <c r="F4" s="141" t="s">
        <v>596</v>
      </c>
      <c r="G4" s="141">
        <v>256</v>
      </c>
    </row>
    <row r="5" spans="1:7">
      <c r="A5" s="327"/>
      <c r="B5" s="141" t="s">
        <v>328</v>
      </c>
      <c r="C5" s="141">
        <v>1024</v>
      </c>
      <c r="E5" s="327"/>
      <c r="F5" s="141" t="s">
        <v>597</v>
      </c>
      <c r="G5" s="141">
        <v>64</v>
      </c>
    </row>
    <row r="6" spans="1:7">
      <c r="A6" s="327"/>
      <c r="B6" s="141" t="s">
        <v>125</v>
      </c>
      <c r="C6" s="141">
        <v>7680</v>
      </c>
      <c r="E6" s="327"/>
      <c r="F6" s="228" t="s">
        <v>599</v>
      </c>
      <c r="G6" s="228">
        <f>IF(Resource!C1="yes",1,0)</f>
        <v>1</v>
      </c>
    </row>
    <row r="7" spans="1:7">
      <c r="A7" s="327"/>
      <c r="B7" s="141" t="s">
        <v>320</v>
      </c>
      <c r="C7" s="141">
        <v>1024</v>
      </c>
      <c r="E7" s="327"/>
      <c r="F7" s="228" t="s">
        <v>611</v>
      </c>
      <c r="G7" s="228">
        <f>Resource!F1</f>
        <v>0</v>
      </c>
    </row>
    <row r="8" spans="1:7">
      <c r="A8" s="327"/>
      <c r="B8" s="141" t="s">
        <v>321</v>
      </c>
      <c r="C8" s="141">
        <v>0</v>
      </c>
      <c r="E8" s="327"/>
      <c r="F8" s="228" t="s">
        <v>661</v>
      </c>
      <c r="G8" s="228">
        <v>1</v>
      </c>
    </row>
    <row r="9" spans="1:7">
      <c r="A9" s="327"/>
      <c r="B9" s="141" t="s">
        <v>322</v>
      </c>
      <c r="C9" s="141">
        <v>2048</v>
      </c>
    </row>
    <row r="10" spans="1:7">
      <c r="A10" s="327"/>
      <c r="B10" s="141" t="s">
        <v>323</v>
      </c>
      <c r="C10" s="141">
        <v>8192</v>
      </c>
    </row>
    <row r="11" spans="1:7">
      <c r="A11" s="327"/>
      <c r="B11" s="141" t="s">
        <v>324</v>
      </c>
      <c r="C11" s="141">
        <v>8192</v>
      </c>
    </row>
    <row r="12" spans="1:7">
      <c r="A12" s="327"/>
      <c r="B12" s="141" t="s">
        <v>325</v>
      </c>
      <c r="C12" s="141">
        <v>0</v>
      </c>
    </row>
    <row r="13" spans="1:7">
      <c r="A13" s="327"/>
      <c r="B13" s="141" t="s">
        <v>326</v>
      </c>
      <c r="C13" s="141">
        <v>1024</v>
      </c>
      <c r="F13" s="171"/>
      <c r="G13" s="171"/>
    </row>
    <row r="14" spans="1:7" s="171" customFormat="1">
      <c r="A14" s="327"/>
      <c r="B14" s="141" t="s">
        <v>600</v>
      </c>
      <c r="C14" s="229">
        <v>0</v>
      </c>
      <c r="F14"/>
      <c r="G14"/>
    </row>
    <row r="15" spans="1:7">
      <c r="A15" s="327"/>
      <c r="B15" s="141" t="s">
        <v>327</v>
      </c>
      <c r="C15" s="141">
        <v>5120</v>
      </c>
      <c r="G15" s="171" t="s">
        <v>598</v>
      </c>
    </row>
    <row r="16" spans="1:7">
      <c r="A16" s="327"/>
      <c r="B16" s="141" t="s">
        <v>615</v>
      </c>
      <c r="C16" s="141">
        <v>1024</v>
      </c>
    </row>
  </sheetData>
  <mergeCells count="2">
    <mergeCell ref="A2:A16"/>
    <mergeCell ref="E2:E8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B1:F147"/>
  <sheetViews>
    <sheetView topLeftCell="B127" zoomScale="130" zoomScaleNormal="130" workbookViewId="0">
      <selection activeCell="D22" sqref="D22"/>
    </sheetView>
  </sheetViews>
  <sheetFormatPr defaultRowHeight="13.5"/>
  <cols>
    <col min="2" max="2" width="23.625" customWidth="1"/>
    <col min="3" max="3" width="25" bestFit="1" customWidth="1"/>
    <col min="4" max="4" width="45" bestFit="1" customWidth="1"/>
    <col min="5" max="5" width="13.75" style="38" customWidth="1"/>
  </cols>
  <sheetData>
    <row r="1" spans="2:5">
      <c r="B1" s="198" t="s">
        <v>0</v>
      </c>
      <c r="C1" s="198" t="s">
        <v>1</v>
      </c>
      <c r="D1" s="198" t="s">
        <v>2</v>
      </c>
      <c r="E1" s="186" t="s">
        <v>7</v>
      </c>
    </row>
    <row r="2" spans="2:5">
      <c r="B2" s="329" t="s">
        <v>491</v>
      </c>
      <c r="C2" s="158" t="s">
        <v>462</v>
      </c>
      <c r="D2" s="158" t="s">
        <v>479</v>
      </c>
      <c r="E2" s="178">
        <v>80</v>
      </c>
    </row>
    <row r="3" spans="2:5">
      <c r="B3" s="330"/>
      <c r="C3" s="158" t="s">
        <v>463</v>
      </c>
      <c r="D3" s="158" t="s">
        <v>480</v>
      </c>
      <c r="E3" s="178">
        <v>160</v>
      </c>
    </row>
    <row r="4" spans="2:5">
      <c r="B4" s="330"/>
      <c r="C4" s="158" t="s">
        <v>464</v>
      </c>
      <c r="D4" s="158" t="s">
        <v>481</v>
      </c>
      <c r="E4" s="178">
        <v>160</v>
      </c>
    </row>
    <row r="5" spans="2:5">
      <c r="B5" s="330"/>
      <c r="C5" s="158" t="s">
        <v>465</v>
      </c>
      <c r="D5" s="158" t="s">
        <v>482</v>
      </c>
      <c r="E5" s="178">
        <v>160</v>
      </c>
    </row>
    <row r="6" spans="2:5">
      <c r="B6" s="330"/>
      <c r="C6" s="158" t="s">
        <v>468</v>
      </c>
      <c r="D6" s="158" t="s">
        <v>483</v>
      </c>
      <c r="E6" s="178">
        <v>80</v>
      </c>
    </row>
    <row r="7" spans="2:5">
      <c r="B7" s="330"/>
      <c r="C7" s="158" t="s">
        <v>466</v>
      </c>
      <c r="D7" s="158" t="s">
        <v>484</v>
      </c>
      <c r="E7" s="178">
        <v>80</v>
      </c>
    </row>
    <row r="8" spans="2:5">
      <c r="B8" s="331"/>
      <c r="C8" s="158" t="s">
        <v>467</v>
      </c>
      <c r="D8" s="158" t="s">
        <v>485</v>
      </c>
      <c r="E8" s="178">
        <v>80</v>
      </c>
    </row>
    <row r="9" spans="2:5">
      <c r="B9" s="141"/>
      <c r="C9" s="141"/>
      <c r="D9" s="141"/>
      <c r="E9" s="143"/>
    </row>
    <row r="10" spans="2:5">
      <c r="B10" s="307" t="s">
        <v>492</v>
      </c>
      <c r="C10" s="43" t="s">
        <v>464</v>
      </c>
      <c r="D10" s="43" t="s">
        <v>542</v>
      </c>
      <c r="E10" s="42">
        <v>80</v>
      </c>
    </row>
    <row r="11" spans="2:5">
      <c r="B11" s="308"/>
      <c r="C11" s="43" t="s">
        <v>469</v>
      </c>
      <c r="D11" s="43" t="s">
        <v>401</v>
      </c>
      <c r="E11" s="42">
        <v>80</v>
      </c>
    </row>
    <row r="12" spans="2:5">
      <c r="B12" s="308"/>
      <c r="C12" s="43" t="s">
        <v>469</v>
      </c>
      <c r="D12" s="43" t="s">
        <v>402</v>
      </c>
      <c r="E12" s="42">
        <v>80</v>
      </c>
    </row>
    <row r="13" spans="2:5">
      <c r="B13" s="308"/>
      <c r="C13" s="43" t="s">
        <v>464</v>
      </c>
      <c r="D13" s="43" t="s">
        <v>403</v>
      </c>
      <c r="E13" s="42">
        <v>160</v>
      </c>
    </row>
    <row r="14" spans="2:5">
      <c r="B14" s="308"/>
      <c r="C14" s="43" t="s">
        <v>465</v>
      </c>
      <c r="D14" s="43" t="s">
        <v>470</v>
      </c>
      <c r="E14" s="42">
        <v>80</v>
      </c>
    </row>
    <row r="15" spans="2:5">
      <c r="B15" s="308"/>
      <c r="C15" s="43" t="s">
        <v>469</v>
      </c>
      <c r="D15" s="43" t="s">
        <v>404</v>
      </c>
      <c r="E15" s="42">
        <v>160</v>
      </c>
    </row>
    <row r="16" spans="2:5">
      <c r="B16" s="308"/>
      <c r="C16" s="43" t="s">
        <v>469</v>
      </c>
      <c r="D16" s="43" t="s">
        <v>405</v>
      </c>
      <c r="E16" s="42">
        <v>160</v>
      </c>
    </row>
    <row r="17" spans="2:5">
      <c r="B17" s="308"/>
      <c r="C17" s="43" t="s">
        <v>467</v>
      </c>
      <c r="D17" s="43" t="s">
        <v>406</v>
      </c>
      <c r="E17" s="42">
        <v>80</v>
      </c>
    </row>
    <row r="18" spans="2:5">
      <c r="B18" s="308"/>
      <c r="C18" s="43" t="s">
        <v>466</v>
      </c>
      <c r="D18" s="43" t="s">
        <v>407</v>
      </c>
      <c r="E18" s="42">
        <v>80</v>
      </c>
    </row>
    <row r="19" spans="2:5">
      <c r="B19" s="309"/>
      <c r="C19" s="43" t="s">
        <v>465</v>
      </c>
      <c r="D19" s="43" t="s">
        <v>408</v>
      </c>
      <c r="E19" s="42">
        <v>160</v>
      </c>
    </row>
    <row r="20" spans="2:5">
      <c r="B20" s="141"/>
      <c r="C20" s="141"/>
      <c r="D20" s="141"/>
      <c r="E20" s="143"/>
    </row>
    <row r="21" spans="2:5">
      <c r="B21" s="320" t="s">
        <v>471</v>
      </c>
      <c r="C21" s="158"/>
      <c r="D21" s="158" t="s">
        <v>409</v>
      </c>
      <c r="E21" s="178">
        <v>160</v>
      </c>
    </row>
    <row r="22" spans="2:5">
      <c r="B22" s="320"/>
      <c r="C22" s="158"/>
      <c r="D22" s="158" t="s">
        <v>410</v>
      </c>
      <c r="E22" s="178">
        <v>320</v>
      </c>
    </row>
    <row r="23" spans="2:5">
      <c r="B23" s="320"/>
      <c r="C23" s="158"/>
      <c r="D23" s="158" t="s">
        <v>411</v>
      </c>
      <c r="E23" s="178">
        <v>160</v>
      </c>
    </row>
    <row r="24" spans="2:5">
      <c r="B24" s="320"/>
      <c r="C24" s="158"/>
      <c r="D24" s="158" t="s">
        <v>412</v>
      </c>
      <c r="E24" s="178">
        <v>320</v>
      </c>
    </row>
    <row r="25" spans="2:5">
      <c r="B25" s="320"/>
      <c r="C25" s="158"/>
      <c r="D25" s="158" t="s">
        <v>413</v>
      </c>
      <c r="E25" s="178">
        <v>160</v>
      </c>
    </row>
    <row r="26" spans="2:5">
      <c r="B26" s="141"/>
      <c r="C26" s="141"/>
      <c r="D26" s="141"/>
      <c r="E26" s="143"/>
    </row>
    <row r="27" spans="2:5">
      <c r="B27" s="322" t="s">
        <v>370</v>
      </c>
      <c r="C27" s="43"/>
      <c r="D27" s="43" t="s">
        <v>414</v>
      </c>
      <c r="E27" s="42">
        <v>160</v>
      </c>
    </row>
    <row r="28" spans="2:5">
      <c r="B28" s="322"/>
      <c r="C28" s="43"/>
      <c r="D28" s="43" t="s">
        <v>415</v>
      </c>
      <c r="E28" s="42">
        <v>320</v>
      </c>
    </row>
    <row r="29" spans="2:5">
      <c r="B29" s="322"/>
      <c r="C29" s="43"/>
      <c r="D29" s="43" t="s">
        <v>416</v>
      </c>
      <c r="E29" s="42">
        <v>160</v>
      </c>
    </row>
    <row r="30" spans="2:5">
      <c r="B30" s="322"/>
      <c r="C30" s="43"/>
      <c r="D30" s="43" t="s">
        <v>417</v>
      </c>
      <c r="E30" s="42">
        <v>320</v>
      </c>
    </row>
    <row r="31" spans="2:5">
      <c r="B31" s="322"/>
      <c r="C31" s="43"/>
      <c r="D31" s="43" t="s">
        <v>418</v>
      </c>
      <c r="E31" s="42">
        <v>160</v>
      </c>
    </row>
    <row r="32" spans="2:5">
      <c r="B32" s="141"/>
      <c r="C32" s="141"/>
      <c r="D32" s="141"/>
      <c r="E32" s="143"/>
    </row>
    <row r="33" spans="2:5">
      <c r="B33" s="320" t="s">
        <v>472</v>
      </c>
      <c r="C33" s="178" t="s">
        <v>24</v>
      </c>
      <c r="D33" s="158" t="s">
        <v>391</v>
      </c>
      <c r="E33" s="178">
        <v>80</v>
      </c>
    </row>
    <row r="34" spans="2:5">
      <c r="B34" s="320"/>
      <c r="C34" s="178" t="s">
        <v>25</v>
      </c>
      <c r="D34" s="158" t="s">
        <v>392</v>
      </c>
      <c r="E34" s="178">
        <v>80</v>
      </c>
    </row>
    <row r="35" spans="2:5">
      <c r="B35" s="320"/>
      <c r="C35" s="178" t="s">
        <v>26</v>
      </c>
      <c r="D35" s="158" t="s">
        <v>393</v>
      </c>
      <c r="E35" s="178">
        <v>80</v>
      </c>
    </row>
    <row r="36" spans="2:5">
      <c r="B36" s="320"/>
      <c r="C36" s="158"/>
      <c r="D36" s="158" t="s">
        <v>394</v>
      </c>
      <c r="E36" s="178">
        <v>80</v>
      </c>
    </row>
    <row r="37" spans="2:5">
      <c r="B37" s="320"/>
      <c r="C37" s="158"/>
      <c r="D37" s="158" t="s">
        <v>395</v>
      </c>
      <c r="E37" s="178">
        <v>80</v>
      </c>
    </row>
    <row r="38" spans="2:5">
      <c r="B38" s="320"/>
      <c r="C38" s="158"/>
      <c r="D38" s="158" t="s">
        <v>396</v>
      </c>
      <c r="E38" s="178">
        <v>320</v>
      </c>
    </row>
    <row r="39" spans="2:5">
      <c r="B39" s="320"/>
      <c r="C39" s="158"/>
      <c r="D39" s="158" t="s">
        <v>397</v>
      </c>
      <c r="E39" s="178">
        <v>160</v>
      </c>
    </row>
    <row r="40" spans="2:5">
      <c r="B40" s="320"/>
      <c r="C40" s="158"/>
      <c r="D40" s="158" t="s">
        <v>398</v>
      </c>
      <c r="E40" s="178">
        <v>80</v>
      </c>
    </row>
    <row r="41" spans="2:5">
      <c r="B41" s="320"/>
      <c r="C41" s="158"/>
      <c r="D41" s="158" t="s">
        <v>399</v>
      </c>
      <c r="E41" s="178">
        <v>160</v>
      </c>
    </row>
    <row r="42" spans="2:5">
      <c r="B42" s="320"/>
      <c r="C42" s="158"/>
      <c r="D42" s="158" t="s">
        <v>400</v>
      </c>
      <c r="E42" s="178">
        <v>80</v>
      </c>
    </row>
    <row r="43" spans="2:5">
      <c r="B43" s="320"/>
      <c r="C43" s="158"/>
      <c r="D43" s="158" t="s">
        <v>486</v>
      </c>
      <c r="E43" s="178">
        <v>80</v>
      </c>
    </row>
    <row r="44" spans="2:5">
      <c r="B44" s="320"/>
      <c r="C44" s="158"/>
      <c r="D44" s="158" t="s">
        <v>487</v>
      </c>
      <c r="E44" s="178">
        <v>80</v>
      </c>
    </row>
    <row r="45" spans="2:5">
      <c r="B45" s="320"/>
      <c r="C45" s="158"/>
      <c r="D45" s="158" t="s">
        <v>488</v>
      </c>
      <c r="E45" s="178">
        <v>80</v>
      </c>
    </row>
    <row r="46" spans="2:5">
      <c r="B46" s="320"/>
      <c r="C46" s="158"/>
      <c r="D46" s="158" t="s">
        <v>489</v>
      </c>
      <c r="E46" s="178">
        <v>80</v>
      </c>
    </row>
    <row r="47" spans="2:5">
      <c r="B47" s="320"/>
      <c r="C47" s="158" t="s">
        <v>541</v>
      </c>
      <c r="D47" s="158" t="s">
        <v>490</v>
      </c>
      <c r="E47" s="178">
        <v>160</v>
      </c>
    </row>
    <row r="48" spans="2:5">
      <c r="B48" s="322" t="s">
        <v>473</v>
      </c>
      <c r="C48" s="42" t="s">
        <v>36</v>
      </c>
      <c r="D48" s="43" t="s">
        <v>419</v>
      </c>
      <c r="E48" s="42">
        <v>80</v>
      </c>
    </row>
    <row r="49" spans="2:5">
      <c r="B49" s="322"/>
      <c r="C49" s="42" t="s">
        <v>38</v>
      </c>
      <c r="D49" s="43" t="s">
        <v>420</v>
      </c>
      <c r="E49" s="42">
        <v>160</v>
      </c>
    </row>
    <row r="50" spans="2:5">
      <c r="B50" s="322"/>
      <c r="C50" s="42" t="s">
        <v>55</v>
      </c>
      <c r="D50" s="43" t="s">
        <v>421</v>
      </c>
      <c r="E50" s="42">
        <v>160</v>
      </c>
    </row>
    <row r="51" spans="2:5">
      <c r="B51" s="322"/>
      <c r="C51" s="43"/>
      <c r="D51" s="43" t="s">
        <v>422</v>
      </c>
      <c r="E51" s="42">
        <v>80</v>
      </c>
    </row>
    <row r="52" spans="2:5">
      <c r="B52" s="322"/>
      <c r="C52" s="42" t="s">
        <v>478</v>
      </c>
      <c r="D52" s="43" t="s">
        <v>474</v>
      </c>
      <c r="E52" s="42">
        <v>160</v>
      </c>
    </row>
    <row r="53" spans="2:5">
      <c r="B53" s="322"/>
      <c r="C53" s="43"/>
      <c r="D53" s="43" t="s">
        <v>423</v>
      </c>
      <c r="E53" s="42">
        <v>80</v>
      </c>
    </row>
    <row r="54" spans="2:5">
      <c r="B54" s="322"/>
      <c r="C54" s="43"/>
      <c r="D54" s="43" t="s">
        <v>424</v>
      </c>
      <c r="E54" s="42">
        <v>160</v>
      </c>
    </row>
    <row r="55" spans="2:5">
      <c r="B55" s="322"/>
      <c r="C55" s="43"/>
      <c r="D55" s="43" t="s">
        <v>425</v>
      </c>
      <c r="E55" s="42">
        <v>80</v>
      </c>
    </row>
    <row r="56" spans="2:5">
      <c r="B56" s="322"/>
      <c r="C56" s="43"/>
      <c r="D56" s="43" t="s">
        <v>426</v>
      </c>
      <c r="E56" s="42">
        <v>160</v>
      </c>
    </row>
    <row r="57" spans="2:5">
      <c r="B57" s="322"/>
      <c r="C57" s="43"/>
      <c r="D57" s="43" t="s">
        <v>427</v>
      </c>
      <c r="E57" s="42">
        <v>80</v>
      </c>
    </row>
    <row r="58" spans="2:5">
      <c r="B58" s="322"/>
      <c r="C58" s="43"/>
      <c r="D58" s="43" t="s">
        <v>428</v>
      </c>
      <c r="E58" s="42">
        <v>80</v>
      </c>
    </row>
    <row r="59" spans="2:5">
      <c r="B59" s="322"/>
      <c r="C59" s="43"/>
      <c r="D59" s="43" t="s">
        <v>429</v>
      </c>
      <c r="E59" s="42">
        <v>80</v>
      </c>
    </row>
    <row r="60" spans="2:5">
      <c r="B60" s="322"/>
      <c r="C60" s="43"/>
      <c r="D60" s="43" t="s">
        <v>430</v>
      </c>
      <c r="E60" s="42">
        <v>80</v>
      </c>
    </row>
    <row r="61" spans="2:5">
      <c r="B61" s="322"/>
      <c r="C61" s="43"/>
      <c r="D61" s="43" t="s">
        <v>431</v>
      </c>
      <c r="E61" s="42">
        <v>320</v>
      </c>
    </row>
    <row r="62" spans="2:5">
      <c r="B62" s="322"/>
      <c r="C62" s="43"/>
      <c r="D62" s="43" t="s">
        <v>432</v>
      </c>
      <c r="E62" s="42">
        <v>320</v>
      </c>
    </row>
    <row r="63" spans="2:5">
      <c r="B63" s="322"/>
      <c r="C63" s="43"/>
      <c r="D63" s="43" t="s">
        <v>433</v>
      </c>
      <c r="E63" s="42">
        <v>320</v>
      </c>
    </row>
    <row r="64" spans="2:5">
      <c r="B64" s="322"/>
      <c r="C64" s="43"/>
      <c r="D64" s="43" t="s">
        <v>434</v>
      </c>
      <c r="E64" s="42">
        <v>320</v>
      </c>
    </row>
    <row r="65" spans="2:5">
      <c r="B65" s="322"/>
      <c r="C65" s="43"/>
      <c r="D65" s="43" t="s">
        <v>435</v>
      </c>
      <c r="E65" s="42">
        <v>320</v>
      </c>
    </row>
    <row r="66" spans="2:5">
      <c r="B66" s="322"/>
      <c r="C66" s="43"/>
      <c r="D66" s="43" t="s">
        <v>436</v>
      </c>
      <c r="E66" s="42">
        <v>320</v>
      </c>
    </row>
    <row r="67" spans="2:5">
      <c r="B67" s="322"/>
      <c r="C67" s="43"/>
      <c r="D67" s="43" t="s">
        <v>437</v>
      </c>
      <c r="E67" s="42">
        <v>320</v>
      </c>
    </row>
    <row r="68" spans="2:5">
      <c r="B68" s="322"/>
      <c r="C68" s="43"/>
      <c r="D68" s="43" t="s">
        <v>438</v>
      </c>
      <c r="E68" s="42">
        <v>320</v>
      </c>
    </row>
    <row r="69" spans="2:5">
      <c r="B69" s="322"/>
      <c r="C69" s="199" t="s">
        <v>132</v>
      </c>
      <c r="D69" s="43" t="s">
        <v>439</v>
      </c>
      <c r="E69" s="42">
        <v>80</v>
      </c>
    </row>
    <row r="70" spans="2:5">
      <c r="B70" s="322"/>
      <c r="C70" s="43"/>
      <c r="D70" s="43" t="s">
        <v>440</v>
      </c>
      <c r="E70" s="42">
        <v>80</v>
      </c>
    </row>
    <row r="71" spans="2:5">
      <c r="B71" s="322"/>
      <c r="C71" s="322" t="s">
        <v>466</v>
      </c>
      <c r="D71" s="43" t="s">
        <v>441</v>
      </c>
      <c r="E71" s="42">
        <v>80</v>
      </c>
    </row>
    <row r="72" spans="2:5">
      <c r="B72" s="322"/>
      <c r="C72" s="322"/>
      <c r="D72" s="43" t="s">
        <v>442</v>
      </c>
      <c r="E72" s="42">
        <v>80</v>
      </c>
    </row>
    <row r="73" spans="2:5">
      <c r="B73" s="322"/>
      <c r="C73" s="322"/>
      <c r="D73" s="43" t="s">
        <v>443</v>
      </c>
      <c r="E73" s="42">
        <v>80</v>
      </c>
    </row>
    <row r="74" spans="2:5">
      <c r="B74" s="322"/>
      <c r="C74" s="322"/>
      <c r="D74" s="43" t="s">
        <v>444</v>
      </c>
      <c r="E74" s="42">
        <v>80</v>
      </c>
    </row>
    <row r="75" spans="2:5">
      <c r="B75" s="322"/>
      <c r="C75" s="322"/>
      <c r="D75" s="43" t="s">
        <v>445</v>
      </c>
      <c r="E75" s="42">
        <v>80</v>
      </c>
    </row>
    <row r="76" spans="2:5">
      <c r="B76" s="320" t="s">
        <v>384</v>
      </c>
      <c r="C76" s="158"/>
      <c r="D76" s="158" t="s">
        <v>378</v>
      </c>
      <c r="E76" s="178">
        <v>80</v>
      </c>
    </row>
    <row r="77" spans="2:5">
      <c r="B77" s="320"/>
      <c r="C77" s="158"/>
      <c r="D77" s="158" t="s">
        <v>379</v>
      </c>
      <c r="E77" s="178">
        <v>80</v>
      </c>
    </row>
    <row r="78" spans="2:5">
      <c r="B78" s="320"/>
      <c r="C78" s="158"/>
      <c r="D78" s="158" t="s">
        <v>380</v>
      </c>
      <c r="E78" s="178">
        <v>80</v>
      </c>
    </row>
    <row r="79" spans="2:5">
      <c r="B79" s="320"/>
      <c r="C79" s="158"/>
      <c r="D79" s="158" t="s">
        <v>381</v>
      </c>
      <c r="E79" s="178">
        <v>160</v>
      </c>
    </row>
    <row r="80" spans="2:5">
      <c r="B80" s="320"/>
      <c r="C80" s="158"/>
      <c r="D80" s="158" t="s">
        <v>382</v>
      </c>
      <c r="E80" s="178">
        <v>320</v>
      </c>
    </row>
    <row r="81" spans="2:5">
      <c r="B81" s="141"/>
      <c r="C81" s="141"/>
      <c r="D81" s="141"/>
      <c r="E81" s="143"/>
    </row>
    <row r="82" spans="2:5">
      <c r="B82" s="322" t="s">
        <v>477</v>
      </c>
      <c r="C82" s="322" t="s">
        <v>476</v>
      </c>
      <c r="D82" s="43" t="s">
        <v>446</v>
      </c>
      <c r="E82" s="42">
        <v>160</v>
      </c>
    </row>
    <row r="83" spans="2:5">
      <c r="B83" s="322"/>
      <c r="C83" s="322"/>
      <c r="D83" s="43" t="s">
        <v>447</v>
      </c>
      <c r="E83" s="42">
        <v>160</v>
      </c>
    </row>
    <row r="84" spans="2:5">
      <c r="B84" s="322"/>
      <c r="C84" s="322"/>
      <c r="D84" s="43" t="s">
        <v>448</v>
      </c>
      <c r="E84" s="42">
        <v>160</v>
      </c>
    </row>
    <row r="85" spans="2:5">
      <c r="B85" s="322"/>
      <c r="C85" s="322"/>
      <c r="D85" s="43" t="s">
        <v>449</v>
      </c>
      <c r="E85" s="42">
        <v>160</v>
      </c>
    </row>
    <row r="86" spans="2:5">
      <c r="B86" s="322"/>
      <c r="C86" s="322"/>
      <c r="D86" s="43" t="s">
        <v>450</v>
      </c>
      <c r="E86" s="42">
        <v>160</v>
      </c>
    </row>
    <row r="87" spans="2:5">
      <c r="B87" s="322"/>
      <c r="C87" s="322"/>
      <c r="D87" s="43" t="s">
        <v>451</v>
      </c>
      <c r="E87" s="42">
        <v>160</v>
      </c>
    </row>
    <row r="88" spans="2:5">
      <c r="B88" s="322"/>
      <c r="C88" s="322"/>
      <c r="D88" s="43" t="s">
        <v>452</v>
      </c>
      <c r="E88" s="42">
        <v>160</v>
      </c>
    </row>
    <row r="89" spans="2:5">
      <c r="B89" s="322"/>
      <c r="C89" s="322"/>
      <c r="D89" s="43" t="s">
        <v>453</v>
      </c>
      <c r="E89" s="42">
        <v>160</v>
      </c>
    </row>
    <row r="90" spans="2:5">
      <c r="B90" s="322"/>
      <c r="C90" s="322"/>
      <c r="D90" s="43" t="s">
        <v>454</v>
      </c>
      <c r="E90" s="42">
        <v>160</v>
      </c>
    </row>
    <row r="91" spans="2:5">
      <c r="B91" s="322"/>
      <c r="C91" s="322"/>
      <c r="D91" s="43" t="s">
        <v>455</v>
      </c>
      <c r="E91" s="42">
        <v>160</v>
      </c>
    </row>
    <row r="92" spans="2:5">
      <c r="B92" s="322"/>
      <c r="C92" s="43"/>
      <c r="D92" s="43"/>
      <c r="E92" s="42"/>
    </row>
    <row r="93" spans="2:5">
      <c r="B93" s="322"/>
      <c r="C93" s="307" t="s">
        <v>475</v>
      </c>
      <c r="D93" s="43" t="s">
        <v>456</v>
      </c>
      <c r="E93" s="42">
        <v>160</v>
      </c>
    </row>
    <row r="94" spans="2:5">
      <c r="B94" s="322"/>
      <c r="C94" s="308"/>
      <c r="D94" s="43" t="s">
        <v>457</v>
      </c>
      <c r="E94" s="42">
        <v>160</v>
      </c>
    </row>
    <row r="95" spans="2:5">
      <c r="B95" s="322"/>
      <c r="C95" s="308"/>
      <c r="D95" s="43" t="s">
        <v>458</v>
      </c>
      <c r="E95" s="42">
        <v>160</v>
      </c>
    </row>
    <row r="96" spans="2:5">
      <c r="B96" s="322"/>
      <c r="C96" s="308"/>
      <c r="D96" s="43" t="s">
        <v>459</v>
      </c>
      <c r="E96" s="42">
        <v>160</v>
      </c>
    </row>
    <row r="97" spans="2:6">
      <c r="B97" s="322"/>
      <c r="C97" s="309"/>
      <c r="D97" s="43" t="s">
        <v>460</v>
      </c>
      <c r="E97" s="42">
        <v>160</v>
      </c>
    </row>
    <row r="98" spans="2:6">
      <c r="B98" s="141"/>
      <c r="C98" s="141"/>
      <c r="D98" s="141"/>
      <c r="E98" s="143"/>
    </row>
    <row r="99" spans="2:6">
      <c r="B99" s="333" t="s">
        <v>516</v>
      </c>
      <c r="C99" s="158" t="s">
        <v>521</v>
      </c>
      <c r="D99" s="158" t="s">
        <v>461</v>
      </c>
      <c r="E99" s="178">
        <v>80</v>
      </c>
    </row>
    <row r="100" spans="2:6">
      <c r="B100" s="333"/>
      <c r="C100" s="158" t="s">
        <v>517</v>
      </c>
      <c r="D100" s="158" t="s">
        <v>512</v>
      </c>
      <c r="E100" s="178">
        <v>160</v>
      </c>
    </row>
    <row r="101" spans="2:6">
      <c r="B101" s="333"/>
      <c r="C101" s="158" t="s">
        <v>520</v>
      </c>
      <c r="D101" s="158" t="s">
        <v>513</v>
      </c>
      <c r="E101" s="178">
        <v>320</v>
      </c>
    </row>
    <row r="102" spans="2:6">
      <c r="B102" s="333"/>
      <c r="C102" s="158" t="s">
        <v>519</v>
      </c>
      <c r="D102" s="158" t="s">
        <v>514</v>
      </c>
      <c r="E102" s="178">
        <v>160</v>
      </c>
    </row>
    <row r="103" spans="2:6">
      <c r="B103" s="333"/>
      <c r="C103" s="158" t="s">
        <v>518</v>
      </c>
      <c r="D103" s="158" t="s">
        <v>515</v>
      </c>
      <c r="E103" s="178">
        <v>160</v>
      </c>
    </row>
    <row r="104" spans="2:6">
      <c r="B104" s="333"/>
      <c r="C104" s="320" t="s">
        <v>540</v>
      </c>
      <c r="D104" s="158" t="s">
        <v>525</v>
      </c>
      <c r="E104" s="178">
        <v>40</v>
      </c>
      <c r="F104" s="171"/>
    </row>
    <row r="105" spans="2:6">
      <c r="B105" s="333"/>
      <c r="C105" s="320"/>
      <c r="D105" s="158" t="s">
        <v>526</v>
      </c>
      <c r="E105" s="178">
        <v>160</v>
      </c>
      <c r="F105" s="171"/>
    </row>
    <row r="106" spans="2:6">
      <c r="B106" s="333"/>
      <c r="C106" s="320"/>
      <c r="D106" s="158" t="s">
        <v>527</v>
      </c>
      <c r="E106" s="178">
        <v>80</v>
      </c>
      <c r="F106" s="171"/>
    </row>
    <row r="107" spans="2:6">
      <c r="B107" s="333"/>
      <c r="C107" s="320" t="s">
        <v>537</v>
      </c>
      <c r="D107" s="158" t="s">
        <v>528</v>
      </c>
      <c r="E107" s="178"/>
      <c r="F107" s="171"/>
    </row>
    <row r="108" spans="2:6">
      <c r="B108" s="333"/>
      <c r="C108" s="320"/>
      <c r="D108" s="158" t="s">
        <v>529</v>
      </c>
      <c r="E108" s="178"/>
      <c r="F108" s="171"/>
    </row>
    <row r="109" spans="2:6">
      <c r="B109" s="333"/>
      <c r="C109" s="320"/>
      <c r="D109" s="158" t="s">
        <v>530</v>
      </c>
      <c r="E109" s="178"/>
      <c r="F109" s="171"/>
    </row>
    <row r="110" spans="2:6">
      <c r="B110" s="333"/>
      <c r="C110" s="320" t="s">
        <v>538</v>
      </c>
      <c r="D110" s="158" t="s">
        <v>531</v>
      </c>
      <c r="E110" s="178"/>
      <c r="F110" s="171"/>
    </row>
    <row r="111" spans="2:6">
      <c r="B111" s="333"/>
      <c r="C111" s="320"/>
      <c r="D111" s="158" t="s">
        <v>532</v>
      </c>
      <c r="E111" s="178"/>
      <c r="F111" s="171"/>
    </row>
    <row r="112" spans="2:6">
      <c r="B112" s="333"/>
      <c r="C112" s="320"/>
      <c r="D112" s="158" t="s">
        <v>533</v>
      </c>
      <c r="E112" s="178"/>
      <c r="F112" s="171"/>
    </row>
    <row r="113" spans="2:6">
      <c r="B113" s="333"/>
      <c r="C113" s="320" t="s">
        <v>539</v>
      </c>
      <c r="D113" s="158" t="s">
        <v>534</v>
      </c>
      <c r="E113" s="178"/>
      <c r="F113" s="171"/>
    </row>
    <row r="114" spans="2:6">
      <c r="B114" s="333"/>
      <c r="C114" s="320"/>
      <c r="D114" s="158" t="s">
        <v>535</v>
      </c>
      <c r="E114" s="178"/>
      <c r="F114" s="171"/>
    </row>
    <row r="115" spans="2:6">
      <c r="B115" s="333"/>
      <c r="C115" s="320"/>
      <c r="D115" s="158" t="s">
        <v>536</v>
      </c>
      <c r="E115" s="178"/>
      <c r="F115" s="171"/>
    </row>
    <row r="116" spans="2:6">
      <c r="B116" s="141"/>
      <c r="C116" s="141"/>
      <c r="D116" s="141"/>
      <c r="E116" s="143"/>
    </row>
    <row r="117" spans="2:6">
      <c r="B117" s="332" t="s">
        <v>493</v>
      </c>
      <c r="C117" s="322" t="s">
        <v>522</v>
      </c>
      <c r="D117" s="43" t="s">
        <v>358</v>
      </c>
      <c r="E117" s="42">
        <v>640</v>
      </c>
    </row>
    <row r="118" spans="2:6">
      <c r="B118" s="332"/>
      <c r="C118" s="322"/>
      <c r="D118" s="43" t="s">
        <v>359</v>
      </c>
      <c r="E118" s="42">
        <v>640</v>
      </c>
    </row>
    <row r="119" spans="2:6">
      <c r="B119" s="332"/>
      <c r="C119" s="322"/>
      <c r="D119" s="43" t="s">
        <v>360</v>
      </c>
      <c r="E119" s="42">
        <v>80</v>
      </c>
    </row>
    <row r="120" spans="2:6">
      <c r="B120" s="332"/>
      <c r="C120" s="322"/>
      <c r="D120" s="43" t="s">
        <v>361</v>
      </c>
      <c r="E120" s="42">
        <v>30</v>
      </c>
    </row>
    <row r="121" spans="2:6">
      <c r="B121" s="332"/>
      <c r="C121" s="322"/>
      <c r="D121" s="43" t="s">
        <v>362</v>
      </c>
      <c r="E121" s="42">
        <v>640</v>
      </c>
    </row>
    <row r="122" spans="2:6">
      <c r="B122" s="332"/>
      <c r="C122" s="322"/>
      <c r="D122" s="43" t="s">
        <v>363</v>
      </c>
      <c r="E122" s="42">
        <v>160</v>
      </c>
    </row>
    <row r="123" spans="2:6">
      <c r="B123" s="332"/>
      <c r="C123" s="322"/>
      <c r="D123" s="43" t="s">
        <v>364</v>
      </c>
      <c r="E123" s="42">
        <v>320</v>
      </c>
    </row>
    <row r="124" spans="2:6">
      <c r="B124" s="332"/>
      <c r="C124" s="322"/>
      <c r="D124" s="43" t="s">
        <v>365</v>
      </c>
      <c r="E124" s="42">
        <v>640</v>
      </c>
    </row>
    <row r="125" spans="2:6">
      <c r="B125" s="332"/>
      <c r="C125" s="322"/>
      <c r="D125" s="43" t="s">
        <v>366</v>
      </c>
      <c r="E125" s="42">
        <v>160</v>
      </c>
    </row>
    <row r="126" spans="2:6">
      <c r="B126" s="332"/>
      <c r="C126" s="322"/>
      <c r="D126" s="43" t="s">
        <v>367</v>
      </c>
      <c r="E126" s="42">
        <v>320</v>
      </c>
    </row>
    <row r="127" spans="2:6">
      <c r="B127" s="332"/>
      <c r="C127" s="322"/>
      <c r="D127" s="43" t="s">
        <v>368</v>
      </c>
      <c r="E127" s="42">
        <v>640</v>
      </c>
    </row>
    <row r="128" spans="2:6">
      <c r="B128" s="332"/>
      <c r="C128" s="322"/>
      <c r="D128" s="43" t="s">
        <v>369</v>
      </c>
      <c r="E128" s="42">
        <v>80</v>
      </c>
    </row>
    <row r="129" spans="2:5">
      <c r="B129" s="332"/>
      <c r="C129" s="43"/>
      <c r="D129" s="43"/>
      <c r="E129" s="42"/>
    </row>
    <row r="130" spans="2:5">
      <c r="B130" s="332"/>
      <c r="C130" s="322" t="s">
        <v>523</v>
      </c>
      <c r="D130" s="43" t="s">
        <v>494</v>
      </c>
      <c r="E130" s="42">
        <v>80</v>
      </c>
    </row>
    <row r="131" spans="2:5">
      <c r="B131" s="332"/>
      <c r="C131" s="322"/>
      <c r="D131" s="43" t="s">
        <v>495</v>
      </c>
      <c r="E131" s="42">
        <v>320</v>
      </c>
    </row>
    <row r="132" spans="2:5">
      <c r="B132" s="332"/>
      <c r="C132" s="322"/>
      <c r="D132" s="43" t="s">
        <v>496</v>
      </c>
      <c r="E132" s="42">
        <v>640</v>
      </c>
    </row>
    <row r="133" spans="2:5">
      <c r="B133" s="332"/>
      <c r="C133" s="322"/>
      <c r="D133" s="43" t="s">
        <v>497</v>
      </c>
      <c r="E133" s="42">
        <v>160</v>
      </c>
    </row>
    <row r="134" spans="2:5">
      <c r="B134" s="332"/>
      <c r="C134" s="322"/>
      <c r="D134" s="43" t="s">
        <v>498</v>
      </c>
      <c r="E134" s="42">
        <v>320</v>
      </c>
    </row>
    <row r="135" spans="2:5">
      <c r="B135" s="332"/>
      <c r="C135" s="322"/>
      <c r="D135" s="43" t="s">
        <v>499</v>
      </c>
      <c r="E135" s="42">
        <v>640</v>
      </c>
    </row>
    <row r="136" spans="2:5">
      <c r="B136" s="332"/>
      <c r="C136" s="322"/>
      <c r="D136" s="43" t="s">
        <v>500</v>
      </c>
      <c r="E136" s="42">
        <v>160</v>
      </c>
    </row>
    <row r="137" spans="2:5">
      <c r="B137" s="332"/>
      <c r="C137" s="322"/>
      <c r="D137" s="43" t="s">
        <v>501</v>
      </c>
      <c r="E137" s="42">
        <v>320</v>
      </c>
    </row>
    <row r="138" spans="2:5">
      <c r="B138" s="332"/>
      <c r="C138" s="322"/>
      <c r="D138" s="43" t="s">
        <v>502</v>
      </c>
      <c r="E138" s="42">
        <v>640</v>
      </c>
    </row>
    <row r="139" spans="2:5">
      <c r="B139" s="141"/>
      <c r="C139" s="141"/>
      <c r="D139" s="141"/>
      <c r="E139" s="143"/>
    </row>
    <row r="140" spans="2:5">
      <c r="B140" s="320" t="s">
        <v>511</v>
      </c>
      <c r="C140" s="320" t="s">
        <v>524</v>
      </c>
      <c r="D140" s="158" t="s">
        <v>503</v>
      </c>
      <c r="E140" s="178">
        <v>80</v>
      </c>
    </row>
    <row r="141" spans="2:5">
      <c r="B141" s="320"/>
      <c r="C141" s="320"/>
      <c r="D141" s="158" t="s">
        <v>504</v>
      </c>
      <c r="E141" s="178">
        <v>160</v>
      </c>
    </row>
    <row r="142" spans="2:5">
      <c r="B142" s="320"/>
      <c r="C142" s="320"/>
      <c r="D142" s="158" t="s">
        <v>505</v>
      </c>
      <c r="E142" s="178">
        <v>160</v>
      </c>
    </row>
    <row r="143" spans="2:5">
      <c r="B143" s="320"/>
      <c r="C143" s="320"/>
      <c r="D143" s="158" t="s">
        <v>506</v>
      </c>
      <c r="E143" s="178">
        <v>320</v>
      </c>
    </row>
    <row r="144" spans="2:5">
      <c r="B144" s="320"/>
      <c r="C144" s="320"/>
      <c r="D144" s="158" t="s">
        <v>507</v>
      </c>
      <c r="E144" s="178">
        <v>320</v>
      </c>
    </row>
    <row r="145" spans="2:5">
      <c r="B145" s="320"/>
      <c r="C145" s="320"/>
      <c r="D145" s="158" t="s">
        <v>508</v>
      </c>
      <c r="E145" s="178">
        <v>640</v>
      </c>
    </row>
    <row r="146" spans="2:5">
      <c r="B146" s="320"/>
      <c r="C146" s="320"/>
      <c r="D146" s="158" t="s">
        <v>509</v>
      </c>
      <c r="E146" s="178">
        <v>160</v>
      </c>
    </row>
    <row r="147" spans="2:5">
      <c r="B147" s="320"/>
      <c r="C147" s="320"/>
      <c r="D147" s="158" t="s">
        <v>510</v>
      </c>
      <c r="E147" s="178">
        <v>320</v>
      </c>
    </row>
  </sheetData>
  <mergeCells count="21">
    <mergeCell ref="C117:C128"/>
    <mergeCell ref="C130:C138"/>
    <mergeCell ref="C140:C147"/>
    <mergeCell ref="C104:C106"/>
    <mergeCell ref="C107:C109"/>
    <mergeCell ref="C110:C112"/>
    <mergeCell ref="C113:C115"/>
    <mergeCell ref="B2:B8"/>
    <mergeCell ref="B10:B19"/>
    <mergeCell ref="B140:B147"/>
    <mergeCell ref="B117:B138"/>
    <mergeCell ref="B99:B115"/>
    <mergeCell ref="B82:B97"/>
    <mergeCell ref="C93:C97"/>
    <mergeCell ref="C82:C91"/>
    <mergeCell ref="C71:C75"/>
    <mergeCell ref="B21:B25"/>
    <mergeCell ref="B27:B31"/>
    <mergeCell ref="B33:B47"/>
    <mergeCell ref="B76:B80"/>
    <mergeCell ref="B48:B75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F34"/>
  <sheetViews>
    <sheetView workbookViewId="0">
      <selection activeCell="H35" sqref="H35"/>
    </sheetView>
  </sheetViews>
  <sheetFormatPr defaultRowHeight="13.5"/>
  <cols>
    <col min="2" max="2" width="18.75" customWidth="1"/>
    <col min="3" max="3" width="27.875" customWidth="1"/>
    <col min="4" max="4" width="37.625" customWidth="1"/>
    <col min="5" max="5" width="10.125" customWidth="1"/>
    <col min="6" max="6" width="16.75" customWidth="1"/>
  </cols>
  <sheetData>
    <row r="1" spans="1:6" ht="14.25" thickBot="1"/>
    <row r="2" spans="1:6" ht="14.25" thickTop="1">
      <c r="B2" s="47" t="s">
        <v>1</v>
      </c>
      <c r="C2" s="48" t="s">
        <v>28</v>
      </c>
      <c r="D2" s="48" t="s">
        <v>2</v>
      </c>
      <c r="E2" s="48" t="s">
        <v>60</v>
      </c>
      <c r="F2" s="73" t="s">
        <v>63</v>
      </c>
    </row>
    <row r="3" spans="1:6">
      <c r="B3" s="351" t="s">
        <v>119</v>
      </c>
      <c r="C3" s="39" t="s">
        <v>29</v>
      </c>
      <c r="D3" s="40" t="s">
        <v>4</v>
      </c>
      <c r="E3" s="39">
        <v>80</v>
      </c>
      <c r="F3" s="353">
        <v>80</v>
      </c>
    </row>
    <row r="4" spans="1:6">
      <c r="B4" s="351"/>
      <c r="C4" s="39" t="s">
        <v>30</v>
      </c>
      <c r="D4" s="40" t="s">
        <v>54</v>
      </c>
      <c r="E4" s="39">
        <v>80</v>
      </c>
      <c r="F4" s="354"/>
    </row>
    <row r="5" spans="1:6" ht="14.25" thickBot="1">
      <c r="B5" s="352"/>
      <c r="C5" s="54" t="s">
        <v>31</v>
      </c>
      <c r="D5" s="49" t="s">
        <v>32</v>
      </c>
      <c r="E5" s="54">
        <v>160</v>
      </c>
      <c r="F5" s="355"/>
    </row>
    <row r="6" spans="1:6" ht="15" thickTop="1" thickBot="1"/>
    <row r="7" spans="1:6" ht="14.25" thickTop="1">
      <c r="B7" s="55" t="s">
        <v>1</v>
      </c>
      <c r="C7" s="56" t="s">
        <v>28</v>
      </c>
      <c r="D7" s="56" t="s">
        <v>2</v>
      </c>
      <c r="E7" s="56" t="s">
        <v>59</v>
      </c>
      <c r="F7" s="69" t="s">
        <v>61</v>
      </c>
    </row>
    <row r="8" spans="1:6">
      <c r="B8" s="343" t="s">
        <v>33</v>
      </c>
      <c r="C8" s="334" t="s">
        <v>118</v>
      </c>
      <c r="D8" s="46" t="s">
        <v>3</v>
      </c>
      <c r="E8" s="45">
        <v>80</v>
      </c>
      <c r="F8" s="337">
        <v>80</v>
      </c>
    </row>
    <row r="9" spans="1:6">
      <c r="B9" s="343"/>
      <c r="C9" s="346"/>
      <c r="D9" s="46" t="s">
        <v>34</v>
      </c>
      <c r="E9" s="45">
        <v>80</v>
      </c>
      <c r="F9" s="347"/>
    </row>
    <row r="10" spans="1:6">
      <c r="B10" s="344"/>
      <c r="C10" s="335" t="s">
        <v>120</v>
      </c>
      <c r="D10" s="59" t="s">
        <v>315</v>
      </c>
      <c r="E10" s="45">
        <v>80</v>
      </c>
      <c r="F10" s="337">
        <v>80</v>
      </c>
    </row>
    <row r="11" spans="1:6">
      <c r="A11" t="s">
        <v>35</v>
      </c>
      <c r="B11" s="344"/>
      <c r="C11" s="335"/>
      <c r="D11" s="59" t="s">
        <v>75</v>
      </c>
      <c r="E11" s="45">
        <v>80</v>
      </c>
      <c r="F11" s="338"/>
    </row>
    <row r="12" spans="1:6">
      <c r="B12" s="344"/>
      <c r="C12" s="346"/>
      <c r="D12" s="74" t="s">
        <v>76</v>
      </c>
      <c r="E12" s="61">
        <v>160</v>
      </c>
      <c r="F12" s="347"/>
    </row>
    <row r="13" spans="1:6">
      <c r="B13" s="344"/>
      <c r="C13" s="334" t="s">
        <v>121</v>
      </c>
      <c r="D13" s="59" t="s">
        <v>5</v>
      </c>
      <c r="E13" s="45">
        <v>80</v>
      </c>
      <c r="F13" s="337">
        <v>80</v>
      </c>
    </row>
    <row r="14" spans="1:6">
      <c r="B14" s="344"/>
      <c r="C14" s="335"/>
      <c r="D14" s="60" t="s">
        <v>138</v>
      </c>
      <c r="E14" s="45">
        <v>80</v>
      </c>
      <c r="F14" s="338"/>
    </row>
    <row r="15" spans="1:6">
      <c r="B15" s="344"/>
      <c r="C15" s="335"/>
      <c r="D15" s="59" t="s">
        <v>5</v>
      </c>
      <c r="E15" s="45">
        <v>80</v>
      </c>
      <c r="F15" s="338"/>
    </row>
    <row r="16" spans="1:6">
      <c r="B16" s="344"/>
      <c r="C16" s="335"/>
      <c r="D16" s="59" t="s">
        <v>3</v>
      </c>
      <c r="E16" s="45">
        <v>80</v>
      </c>
      <c r="F16" s="338"/>
    </row>
    <row r="17" spans="2:6">
      <c r="B17" s="344"/>
      <c r="C17" s="346"/>
      <c r="D17" s="59" t="s">
        <v>34</v>
      </c>
      <c r="E17" s="45">
        <v>80</v>
      </c>
      <c r="F17" s="347"/>
    </row>
    <row r="18" spans="2:6">
      <c r="B18" s="344"/>
      <c r="C18" s="334" t="s">
        <v>80</v>
      </c>
      <c r="D18" s="59" t="s">
        <v>81</v>
      </c>
      <c r="E18" s="45">
        <v>160</v>
      </c>
      <c r="F18" s="337">
        <v>160</v>
      </c>
    </row>
    <row r="19" spans="2:6">
      <c r="B19" s="344"/>
      <c r="C19" s="335"/>
      <c r="D19" s="59" t="s">
        <v>82</v>
      </c>
      <c r="E19" s="45">
        <v>320</v>
      </c>
      <c r="F19" s="338"/>
    </row>
    <row r="20" spans="2:6">
      <c r="B20" s="344"/>
      <c r="C20" s="346"/>
      <c r="D20" s="59" t="s">
        <v>83</v>
      </c>
      <c r="E20" s="45">
        <v>80</v>
      </c>
      <c r="F20" s="347"/>
    </row>
    <row r="21" spans="2:6">
      <c r="B21" s="344"/>
      <c r="C21" s="334" t="s">
        <v>117</v>
      </c>
      <c r="D21" s="59" t="s">
        <v>5</v>
      </c>
      <c r="E21" s="45">
        <v>80</v>
      </c>
      <c r="F21" s="337">
        <v>80</v>
      </c>
    </row>
    <row r="22" spans="2:6">
      <c r="B22" s="344"/>
      <c r="C22" s="335"/>
      <c r="D22" s="59" t="s">
        <v>3</v>
      </c>
      <c r="E22" s="45">
        <v>80</v>
      </c>
      <c r="F22" s="338"/>
    </row>
    <row r="23" spans="2:6">
      <c r="B23" s="344"/>
      <c r="C23" s="335"/>
      <c r="D23" s="59" t="s">
        <v>34</v>
      </c>
      <c r="E23" s="45">
        <v>80</v>
      </c>
      <c r="F23" s="338"/>
    </row>
    <row r="24" spans="2:6">
      <c r="B24" s="344"/>
      <c r="C24" s="346"/>
      <c r="D24" s="59" t="s">
        <v>84</v>
      </c>
      <c r="E24" s="45">
        <v>80</v>
      </c>
      <c r="F24" s="347"/>
    </row>
    <row r="25" spans="2:6">
      <c r="B25" s="344"/>
      <c r="C25" s="334" t="s">
        <v>116</v>
      </c>
      <c r="D25" s="59" t="s">
        <v>77</v>
      </c>
      <c r="E25" s="45">
        <v>80</v>
      </c>
      <c r="F25" s="337">
        <v>80</v>
      </c>
    </row>
    <row r="26" spans="2:6">
      <c r="B26" s="344"/>
      <c r="C26" s="335"/>
      <c r="D26" s="59" t="s">
        <v>78</v>
      </c>
      <c r="E26" s="45">
        <v>80</v>
      </c>
      <c r="F26" s="338"/>
    </row>
    <row r="27" spans="2:6">
      <c r="B27" s="344"/>
      <c r="C27" s="335"/>
      <c r="D27" s="59" t="s">
        <v>79</v>
      </c>
      <c r="E27" s="45">
        <v>80</v>
      </c>
      <c r="F27" s="338"/>
    </row>
    <row r="28" spans="2:6" ht="14.25" thickBot="1">
      <c r="B28" s="345"/>
      <c r="C28" s="336"/>
      <c r="D28" s="58" t="s">
        <v>84</v>
      </c>
      <c r="E28" s="57">
        <v>80</v>
      </c>
      <c r="F28" s="339"/>
    </row>
    <row r="29" spans="2:6" ht="15" thickTop="1" thickBot="1"/>
    <row r="30" spans="2:6" ht="14.25" thickTop="1">
      <c r="B30" s="50" t="s">
        <v>66</v>
      </c>
      <c r="C30" s="51" t="s">
        <v>67</v>
      </c>
      <c r="D30" s="51" t="s">
        <v>68</v>
      </c>
      <c r="E30" s="51" t="s">
        <v>69</v>
      </c>
      <c r="F30" s="71" t="s">
        <v>70</v>
      </c>
    </row>
    <row r="31" spans="2:6">
      <c r="B31" s="340" t="s">
        <v>26</v>
      </c>
      <c r="C31" s="42" t="s">
        <v>85</v>
      </c>
      <c r="D31" s="43" t="s">
        <v>86</v>
      </c>
      <c r="E31" s="42">
        <v>160</v>
      </c>
      <c r="F31" s="348">
        <v>80</v>
      </c>
    </row>
    <row r="32" spans="2:6">
      <c r="B32" s="341"/>
      <c r="C32" s="64" t="s">
        <v>87</v>
      </c>
      <c r="D32" s="43" t="s">
        <v>88</v>
      </c>
      <c r="E32" s="42">
        <v>80</v>
      </c>
      <c r="F32" s="349"/>
    </row>
    <row r="33" spans="2:6" ht="14.25" thickBot="1">
      <c r="B33" s="342"/>
      <c r="C33" s="53" t="s">
        <v>89</v>
      </c>
      <c r="D33" s="52" t="s">
        <v>90</v>
      </c>
      <c r="E33" s="53">
        <v>160</v>
      </c>
      <c r="F33" s="350"/>
    </row>
    <row r="34" spans="2:6" ht="14.25" thickTop="1"/>
  </sheetData>
  <mergeCells count="17">
    <mergeCell ref="B3:B5"/>
    <mergeCell ref="C8:C9"/>
    <mergeCell ref="C10:C12"/>
    <mergeCell ref="F3:F5"/>
    <mergeCell ref="F8:F9"/>
    <mergeCell ref="F10:F12"/>
    <mergeCell ref="C25:C28"/>
    <mergeCell ref="F25:F28"/>
    <mergeCell ref="B31:B33"/>
    <mergeCell ref="B8:B28"/>
    <mergeCell ref="C18:C20"/>
    <mergeCell ref="F18:F20"/>
    <mergeCell ref="C21:C24"/>
    <mergeCell ref="F21:F24"/>
    <mergeCell ref="F31:F33"/>
    <mergeCell ref="C13:C17"/>
    <mergeCell ref="F13:F17"/>
  </mergeCells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B1:F34"/>
  <sheetViews>
    <sheetView workbookViewId="0">
      <selection activeCell="H23" sqref="H23"/>
    </sheetView>
  </sheetViews>
  <sheetFormatPr defaultRowHeight="13.5"/>
  <cols>
    <col min="2" max="2" width="20.25" customWidth="1"/>
    <col min="3" max="3" width="10.375" customWidth="1"/>
    <col min="4" max="4" width="39.75" customWidth="1"/>
    <col min="5" max="5" width="10.375" customWidth="1"/>
    <col min="6" max="6" width="16.75" customWidth="1"/>
  </cols>
  <sheetData>
    <row r="1" spans="2:6" ht="14.25" thickBot="1"/>
    <row r="2" spans="2:6" ht="14.25" thickTop="1">
      <c r="B2" s="55" t="s">
        <v>1</v>
      </c>
      <c r="C2" s="56" t="s">
        <v>28</v>
      </c>
      <c r="D2" s="56" t="s">
        <v>2</v>
      </c>
      <c r="E2" s="56" t="s">
        <v>62</v>
      </c>
      <c r="F2" s="69" t="s">
        <v>64</v>
      </c>
    </row>
    <row r="3" spans="2:6">
      <c r="B3" s="343" t="s">
        <v>38</v>
      </c>
      <c r="C3" s="65"/>
      <c r="D3" s="46" t="s">
        <v>139</v>
      </c>
      <c r="E3" s="45">
        <v>80</v>
      </c>
      <c r="F3" s="365">
        <v>80</v>
      </c>
    </row>
    <row r="4" spans="2:6">
      <c r="B4" s="343"/>
      <c r="C4" s="65"/>
      <c r="D4" s="46" t="s">
        <v>39</v>
      </c>
      <c r="E4" s="45">
        <v>160</v>
      </c>
      <c r="F4" s="366"/>
    </row>
    <row r="5" spans="2:6">
      <c r="B5" s="344"/>
      <c r="C5" s="65"/>
      <c r="D5" s="59" t="s">
        <v>40</v>
      </c>
      <c r="E5" s="61">
        <v>80</v>
      </c>
      <c r="F5" s="366"/>
    </row>
    <row r="6" spans="2:6">
      <c r="B6" s="344"/>
      <c r="C6" s="65"/>
      <c r="D6" s="59" t="s">
        <v>41</v>
      </c>
      <c r="E6" s="61">
        <v>80</v>
      </c>
      <c r="F6" s="366"/>
    </row>
    <row r="7" spans="2:6">
      <c r="B7" s="344"/>
      <c r="C7" s="65"/>
      <c r="D7" s="59" t="s">
        <v>42</v>
      </c>
      <c r="E7" s="61">
        <v>320</v>
      </c>
      <c r="F7" s="366"/>
    </row>
    <row r="8" spans="2:6">
      <c r="B8" s="344"/>
      <c r="C8" s="65"/>
      <c r="D8" s="59" t="s">
        <v>43</v>
      </c>
      <c r="E8" s="61">
        <v>320</v>
      </c>
      <c r="F8" s="366"/>
    </row>
    <row r="9" spans="2:6">
      <c r="B9" s="344"/>
      <c r="C9" s="65"/>
      <c r="D9" s="60" t="s">
        <v>44</v>
      </c>
      <c r="E9" s="61">
        <v>320</v>
      </c>
      <c r="F9" s="366"/>
    </row>
    <row r="10" spans="2:6" ht="14.25" thickBot="1">
      <c r="B10" s="345"/>
      <c r="C10" s="66"/>
      <c r="D10" s="58" t="s">
        <v>390</v>
      </c>
      <c r="E10" s="57">
        <v>320</v>
      </c>
      <c r="F10" s="367"/>
    </row>
    <row r="11" spans="2:6" ht="15" thickTop="1" thickBot="1"/>
    <row r="12" spans="2:6" ht="14.25" thickTop="1">
      <c r="B12" s="50" t="s">
        <v>1</v>
      </c>
      <c r="C12" s="51" t="s">
        <v>28</v>
      </c>
      <c r="D12" s="51" t="s">
        <v>2</v>
      </c>
      <c r="E12" s="51" t="s">
        <v>62</v>
      </c>
      <c r="F12" s="71" t="s">
        <v>64</v>
      </c>
    </row>
    <row r="13" spans="2:6">
      <c r="B13" s="341" t="s">
        <v>45</v>
      </c>
      <c r="C13" s="42"/>
      <c r="D13" s="43" t="s">
        <v>46</v>
      </c>
      <c r="E13" s="42">
        <v>80</v>
      </c>
      <c r="F13" s="368">
        <v>80</v>
      </c>
    </row>
    <row r="14" spans="2:6">
      <c r="B14" s="363"/>
      <c r="C14" s="67"/>
      <c r="D14" s="43" t="s">
        <v>47</v>
      </c>
      <c r="E14" s="42">
        <v>160</v>
      </c>
      <c r="F14" s="369"/>
    </row>
    <row r="15" spans="2:6">
      <c r="B15" s="363"/>
      <c r="C15" s="67"/>
      <c r="D15" s="63" t="s">
        <v>48</v>
      </c>
      <c r="E15" s="64">
        <v>80</v>
      </c>
      <c r="F15" s="369"/>
    </row>
    <row r="16" spans="2:6">
      <c r="B16" s="363"/>
      <c r="C16" s="62"/>
      <c r="D16" s="63" t="s">
        <v>49</v>
      </c>
      <c r="E16" s="64">
        <v>80</v>
      </c>
      <c r="F16" s="369"/>
    </row>
    <row r="17" spans="2:6">
      <c r="B17" s="363"/>
      <c r="C17" s="42"/>
      <c r="D17" s="43" t="s">
        <v>50</v>
      </c>
      <c r="E17" s="42">
        <v>320</v>
      </c>
      <c r="F17" s="369"/>
    </row>
    <row r="18" spans="2:6">
      <c r="B18" s="363"/>
      <c r="C18" s="42"/>
      <c r="D18" s="43" t="s">
        <v>51</v>
      </c>
      <c r="E18" s="42">
        <v>320</v>
      </c>
      <c r="F18" s="369"/>
    </row>
    <row r="19" spans="2:6">
      <c r="B19" s="363"/>
      <c r="C19" s="42"/>
      <c r="D19" s="43" t="s">
        <v>52</v>
      </c>
      <c r="E19" s="42">
        <v>320</v>
      </c>
      <c r="F19" s="369"/>
    </row>
    <row r="20" spans="2:6" ht="14.25" thickBot="1">
      <c r="B20" s="364"/>
      <c r="C20" s="53"/>
      <c r="D20" s="52" t="s">
        <v>53</v>
      </c>
      <c r="E20" s="53">
        <v>320</v>
      </c>
      <c r="F20" s="370"/>
    </row>
    <row r="21" spans="2:6" ht="14.25" thickTop="1"/>
    <row r="22" spans="2:6">
      <c r="B22" s="196" t="s">
        <v>66</v>
      </c>
      <c r="C22" s="196" t="s">
        <v>28</v>
      </c>
      <c r="D22" s="196" t="s">
        <v>68</v>
      </c>
      <c r="E22" s="196" t="s">
        <v>59</v>
      </c>
      <c r="F22" s="196" t="s">
        <v>61</v>
      </c>
    </row>
    <row r="23" spans="2:6">
      <c r="B23" s="360" t="s">
        <v>37</v>
      </c>
      <c r="C23" s="197"/>
      <c r="D23" s="196" t="s">
        <v>17</v>
      </c>
      <c r="E23" s="197">
        <v>160</v>
      </c>
      <c r="F23" s="360">
        <v>80</v>
      </c>
    </row>
    <row r="24" spans="2:6">
      <c r="B24" s="361"/>
      <c r="C24" s="197"/>
      <c r="D24" s="196" t="s">
        <v>15</v>
      </c>
      <c r="E24" s="197">
        <v>80</v>
      </c>
      <c r="F24" s="361"/>
    </row>
    <row r="25" spans="2:6">
      <c r="B25" s="361"/>
      <c r="C25" s="197"/>
      <c r="D25" s="196" t="s">
        <v>16</v>
      </c>
      <c r="E25" s="197">
        <v>160</v>
      </c>
      <c r="F25" s="361"/>
    </row>
    <row r="26" spans="2:6">
      <c r="B26" s="361"/>
      <c r="C26" s="197"/>
      <c r="D26" s="196" t="s">
        <v>18</v>
      </c>
      <c r="E26" s="197">
        <v>80</v>
      </c>
      <c r="F26" s="361"/>
    </row>
    <row r="27" spans="2:6">
      <c r="B27" s="362"/>
      <c r="C27" s="196"/>
      <c r="D27" s="196" t="s">
        <v>383</v>
      </c>
      <c r="E27" s="197">
        <v>160</v>
      </c>
      <c r="F27" s="362"/>
    </row>
    <row r="29" spans="2:6">
      <c r="B29" s="196" t="s">
        <v>66</v>
      </c>
      <c r="C29" s="196" t="s">
        <v>28</v>
      </c>
      <c r="D29" s="196" t="s">
        <v>68</v>
      </c>
      <c r="E29" s="196" t="s">
        <v>59</v>
      </c>
      <c r="F29" s="196" t="s">
        <v>61</v>
      </c>
    </row>
    <row r="30" spans="2:6">
      <c r="B30" s="356" t="s">
        <v>384</v>
      </c>
      <c r="C30" s="195"/>
      <c r="D30" s="195" t="s">
        <v>385</v>
      </c>
      <c r="E30" s="195">
        <v>80</v>
      </c>
      <c r="F30" s="357">
        <v>80</v>
      </c>
    </row>
    <row r="31" spans="2:6">
      <c r="B31" s="356"/>
      <c r="C31" s="195"/>
      <c r="D31" s="195" t="s">
        <v>386</v>
      </c>
      <c r="E31" s="195">
        <v>80</v>
      </c>
      <c r="F31" s="358"/>
    </row>
    <row r="32" spans="2:6">
      <c r="B32" s="356"/>
      <c r="C32" s="195"/>
      <c r="D32" s="195" t="s">
        <v>387</v>
      </c>
      <c r="E32" s="195">
        <v>80</v>
      </c>
      <c r="F32" s="358"/>
    </row>
    <row r="33" spans="2:6">
      <c r="B33" s="356"/>
      <c r="C33" s="195"/>
      <c r="D33" s="195" t="s">
        <v>388</v>
      </c>
      <c r="E33" s="195">
        <v>160</v>
      </c>
      <c r="F33" s="358"/>
    </row>
    <row r="34" spans="2:6">
      <c r="B34" s="356"/>
      <c r="C34" s="195"/>
      <c r="D34" s="195" t="s">
        <v>389</v>
      </c>
      <c r="E34" s="195">
        <v>320</v>
      </c>
      <c r="F34" s="359"/>
    </row>
  </sheetData>
  <mergeCells count="8">
    <mergeCell ref="B30:B34"/>
    <mergeCell ref="F30:F34"/>
    <mergeCell ref="F23:F27"/>
    <mergeCell ref="B13:B20"/>
    <mergeCell ref="F3:F10"/>
    <mergeCell ref="F13:F20"/>
    <mergeCell ref="B3:B10"/>
    <mergeCell ref="B23:B27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B1:F15"/>
  <sheetViews>
    <sheetView workbookViewId="0">
      <selection activeCell="D32" sqref="D32"/>
    </sheetView>
  </sheetViews>
  <sheetFormatPr defaultRowHeight="13.5"/>
  <cols>
    <col min="2" max="2" width="18" customWidth="1"/>
    <col min="3" max="3" width="14.375" customWidth="1"/>
    <col min="4" max="4" width="32.625" customWidth="1"/>
    <col min="5" max="5" width="10.5" customWidth="1"/>
    <col min="6" max="6" width="17.125" customWidth="1"/>
  </cols>
  <sheetData>
    <row r="1" spans="2:6" ht="14.25" thickBot="1"/>
    <row r="2" spans="2:6" ht="14.25" thickTop="1">
      <c r="B2" s="47" t="s">
        <v>66</v>
      </c>
      <c r="C2" s="48" t="s">
        <v>67</v>
      </c>
      <c r="D2" s="48" t="s">
        <v>68</v>
      </c>
      <c r="E2" s="48" t="s">
        <v>69</v>
      </c>
      <c r="F2" s="68" t="s">
        <v>70</v>
      </c>
    </row>
    <row r="3" spans="2:6">
      <c r="B3" s="351" t="s">
        <v>122</v>
      </c>
      <c r="C3" s="39" t="s">
        <v>71</v>
      </c>
      <c r="D3" s="40" t="s">
        <v>56</v>
      </c>
      <c r="E3" s="39">
        <v>160</v>
      </c>
      <c r="F3" s="353">
        <v>160</v>
      </c>
    </row>
    <row r="4" spans="2:6">
      <c r="B4" s="351"/>
      <c r="C4" s="317" t="s">
        <v>72</v>
      </c>
      <c r="D4" s="41" t="s">
        <v>73</v>
      </c>
      <c r="E4" s="39">
        <v>160</v>
      </c>
      <c r="F4" s="354"/>
    </row>
    <row r="5" spans="2:6" ht="14.25" thickBot="1">
      <c r="B5" s="352"/>
      <c r="C5" s="371"/>
      <c r="D5" s="41" t="s">
        <v>74</v>
      </c>
      <c r="E5" s="39">
        <v>160</v>
      </c>
      <c r="F5" s="355"/>
    </row>
    <row r="6" spans="2:6" ht="15" thickTop="1" thickBot="1"/>
    <row r="7" spans="2:6" ht="14.25" thickTop="1">
      <c r="B7" s="55" t="s">
        <v>1</v>
      </c>
      <c r="C7" s="56" t="s">
        <v>28</v>
      </c>
      <c r="D7" s="56" t="s">
        <v>2</v>
      </c>
      <c r="E7" s="56" t="s">
        <v>59</v>
      </c>
      <c r="F7" s="69" t="s">
        <v>64</v>
      </c>
    </row>
    <row r="8" spans="2:6">
      <c r="B8" s="343" t="s">
        <v>123</v>
      </c>
      <c r="C8" s="65"/>
      <c r="D8" s="65" t="s">
        <v>12</v>
      </c>
      <c r="E8" s="70">
        <v>160</v>
      </c>
      <c r="F8" s="372">
        <v>160</v>
      </c>
    </row>
    <row r="9" spans="2:6" ht="14.25" thickBot="1">
      <c r="B9" s="345"/>
      <c r="C9" s="66"/>
      <c r="D9" s="66" t="s">
        <v>14</v>
      </c>
      <c r="E9" s="70">
        <v>160</v>
      </c>
      <c r="F9" s="373"/>
    </row>
    <row r="10" spans="2:6" ht="15" thickTop="1" thickBot="1"/>
    <row r="11" spans="2:6" ht="14.25" thickTop="1">
      <c r="B11" s="50" t="s">
        <v>1</v>
      </c>
      <c r="C11" s="51" t="s">
        <v>28</v>
      </c>
      <c r="D11" s="51" t="s">
        <v>2</v>
      </c>
      <c r="E11" s="51" t="s">
        <v>59</v>
      </c>
      <c r="F11" s="71" t="s">
        <v>64</v>
      </c>
    </row>
    <row r="12" spans="2:6">
      <c r="B12" s="341" t="s">
        <v>124</v>
      </c>
      <c r="C12" s="42"/>
      <c r="D12" s="43" t="s">
        <v>57</v>
      </c>
      <c r="E12" s="72">
        <v>160</v>
      </c>
      <c r="F12" s="374">
        <v>160</v>
      </c>
    </row>
    <row r="13" spans="2:6" ht="14.25" thickBot="1">
      <c r="B13" s="364"/>
      <c r="C13" s="53"/>
      <c r="D13" s="52" t="s">
        <v>13</v>
      </c>
      <c r="E13" s="72">
        <v>160</v>
      </c>
      <c r="F13" s="375"/>
    </row>
    <row r="14" spans="2:6" ht="14.25" thickTop="1"/>
    <row r="15" spans="2:6">
      <c r="D15" s="171" t="s">
        <v>377</v>
      </c>
    </row>
  </sheetData>
  <mergeCells count="7">
    <mergeCell ref="B3:B5"/>
    <mergeCell ref="C4:C5"/>
    <mergeCell ref="B8:B9"/>
    <mergeCell ref="B12:B13"/>
    <mergeCell ref="F3:F5"/>
    <mergeCell ref="F8:F9"/>
    <mergeCell ref="F12:F13"/>
  </mergeCells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B2:F22"/>
  <sheetViews>
    <sheetView workbookViewId="0">
      <selection activeCell="C10" sqref="C10"/>
    </sheetView>
  </sheetViews>
  <sheetFormatPr defaultRowHeight="13.5"/>
  <cols>
    <col min="2" max="2" width="36.125" bestFit="1" customWidth="1"/>
    <col min="3" max="3" width="20.75" customWidth="1"/>
    <col min="4" max="4" width="37.125" bestFit="1" customWidth="1"/>
    <col min="5" max="5" width="19" customWidth="1"/>
    <col min="6" max="6" width="18.125" customWidth="1"/>
  </cols>
  <sheetData>
    <row r="2" spans="2:6">
      <c r="B2" s="192" t="s">
        <v>1</v>
      </c>
      <c r="C2" s="192" t="s">
        <v>28</v>
      </c>
      <c r="D2" s="192" t="s">
        <v>2</v>
      </c>
      <c r="E2" s="192" t="s">
        <v>59</v>
      </c>
      <c r="F2" s="193" t="s">
        <v>61</v>
      </c>
    </row>
    <row r="3" spans="2:6">
      <c r="B3" s="356" t="s">
        <v>126</v>
      </c>
      <c r="C3" s="194" t="s">
        <v>30</v>
      </c>
      <c r="D3" s="195" t="s">
        <v>374</v>
      </c>
      <c r="E3" s="194">
        <v>640</v>
      </c>
      <c r="F3" s="357">
        <v>80</v>
      </c>
    </row>
    <row r="4" spans="2:6">
      <c r="B4" s="356"/>
      <c r="C4" s="194" t="s">
        <v>375</v>
      </c>
      <c r="D4" s="195" t="s">
        <v>376</v>
      </c>
      <c r="E4" s="194">
        <v>80</v>
      </c>
      <c r="F4" s="358"/>
    </row>
    <row r="5" spans="2:6">
      <c r="B5" s="356"/>
      <c r="C5" s="194" t="s">
        <v>31</v>
      </c>
      <c r="D5" s="195" t="s">
        <v>361</v>
      </c>
      <c r="E5" s="194">
        <v>320</v>
      </c>
      <c r="F5" s="358"/>
    </row>
    <row r="6" spans="2:6">
      <c r="B6" s="356"/>
      <c r="C6" s="194" t="s">
        <v>31</v>
      </c>
      <c r="D6" s="195" t="s">
        <v>362</v>
      </c>
      <c r="E6" s="194">
        <v>640</v>
      </c>
      <c r="F6" s="358"/>
    </row>
    <row r="7" spans="2:6">
      <c r="B7" s="356"/>
      <c r="C7" s="194" t="s">
        <v>30</v>
      </c>
      <c r="D7" s="195" t="s">
        <v>372</v>
      </c>
      <c r="E7" s="194">
        <v>160</v>
      </c>
      <c r="F7" s="358"/>
    </row>
    <row r="8" spans="2:6">
      <c r="B8" s="356"/>
      <c r="C8" s="194" t="s">
        <v>30</v>
      </c>
      <c r="D8" s="195" t="s">
        <v>373</v>
      </c>
      <c r="E8" s="194">
        <v>320</v>
      </c>
      <c r="F8" s="358"/>
    </row>
    <row r="9" spans="2:6">
      <c r="B9" s="356"/>
      <c r="C9" s="194" t="s">
        <v>29</v>
      </c>
      <c r="D9" s="195" t="s">
        <v>365</v>
      </c>
      <c r="E9" s="194">
        <v>640</v>
      </c>
      <c r="F9" s="358"/>
    </row>
    <row r="10" spans="2:6">
      <c r="B10" s="356"/>
      <c r="C10" s="194" t="s">
        <v>29</v>
      </c>
      <c r="D10" s="195" t="s">
        <v>366</v>
      </c>
      <c r="E10" s="194">
        <v>160</v>
      </c>
      <c r="F10" s="358"/>
    </row>
    <row r="11" spans="2:6">
      <c r="B11" s="356"/>
      <c r="C11" s="194" t="s">
        <v>29</v>
      </c>
      <c r="D11" s="195" t="s">
        <v>367</v>
      </c>
      <c r="E11" s="194">
        <v>320</v>
      </c>
      <c r="F11" s="358"/>
    </row>
    <row r="12" spans="2:6">
      <c r="B12" s="356"/>
      <c r="C12" s="194" t="s">
        <v>29</v>
      </c>
      <c r="D12" s="195" t="s">
        <v>368</v>
      </c>
      <c r="E12" s="194">
        <v>640</v>
      </c>
      <c r="F12" s="358"/>
    </row>
    <row r="13" spans="2:6">
      <c r="B13" s="356"/>
      <c r="C13" s="194" t="s">
        <v>371</v>
      </c>
      <c r="D13" s="195" t="s">
        <v>369</v>
      </c>
      <c r="E13" s="194">
        <v>80</v>
      </c>
      <c r="F13" s="359"/>
    </row>
    <row r="15" spans="2:6" ht="14.25" thickBot="1"/>
    <row r="16" spans="2:6" ht="14.25" thickTop="1">
      <c r="B16" s="75" t="s">
        <v>1</v>
      </c>
      <c r="C16" s="76" t="s">
        <v>28</v>
      </c>
      <c r="D16" s="76" t="s">
        <v>2</v>
      </c>
      <c r="E16" s="76" t="s">
        <v>59</v>
      </c>
      <c r="F16" s="77" t="s">
        <v>61</v>
      </c>
    </row>
    <row r="17" spans="2:6">
      <c r="B17" s="376" t="s">
        <v>92</v>
      </c>
      <c r="C17" s="78" t="s">
        <v>29</v>
      </c>
      <c r="D17" s="79" t="s">
        <v>142</v>
      </c>
      <c r="E17" s="78">
        <v>160</v>
      </c>
      <c r="F17" s="379">
        <v>80</v>
      </c>
    </row>
    <row r="18" spans="2:6">
      <c r="B18" s="376"/>
      <c r="C18" s="78" t="s">
        <v>93</v>
      </c>
      <c r="D18" s="79" t="s">
        <v>9</v>
      </c>
      <c r="E18" s="78">
        <v>160</v>
      </c>
      <c r="F18" s="380"/>
    </row>
    <row r="19" spans="2:6">
      <c r="B19" s="376"/>
      <c r="C19" s="78" t="s">
        <v>94</v>
      </c>
      <c r="D19" s="79" t="s">
        <v>11</v>
      </c>
      <c r="E19" s="78">
        <v>160</v>
      </c>
      <c r="F19" s="380"/>
    </row>
    <row r="20" spans="2:6">
      <c r="B20" s="377"/>
      <c r="C20" s="80" t="s">
        <v>95</v>
      </c>
      <c r="D20" s="81" t="s">
        <v>10</v>
      </c>
      <c r="E20" s="80">
        <v>320</v>
      </c>
      <c r="F20" s="380"/>
    </row>
    <row r="21" spans="2:6" ht="14.25" thickBot="1">
      <c r="B21" s="378"/>
      <c r="C21" s="82" t="s">
        <v>31</v>
      </c>
      <c r="D21" s="83" t="s">
        <v>96</v>
      </c>
      <c r="E21" s="82">
        <v>320</v>
      </c>
      <c r="F21" s="381"/>
    </row>
    <row r="22" spans="2:6" ht="14.25" thickTop="1"/>
  </sheetData>
  <mergeCells count="4">
    <mergeCell ref="B17:B21"/>
    <mergeCell ref="F17:F21"/>
    <mergeCell ref="B3:B13"/>
    <mergeCell ref="F3:F13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/>
  <dimension ref="B1:F19"/>
  <sheetViews>
    <sheetView workbookViewId="0">
      <selection activeCell="D5" sqref="D5"/>
    </sheetView>
  </sheetViews>
  <sheetFormatPr defaultRowHeight="13.5"/>
  <cols>
    <col min="2" max="2" width="11.25" customWidth="1"/>
    <col min="3" max="3" width="9.625" customWidth="1"/>
    <col min="4" max="4" width="31.875" customWidth="1"/>
    <col min="5" max="5" width="11.125" customWidth="1"/>
    <col min="6" max="6" width="18" customWidth="1"/>
  </cols>
  <sheetData>
    <row r="1" spans="2:6" ht="14.25" thickBot="1"/>
    <row r="2" spans="2:6">
      <c r="B2" s="84" t="s">
        <v>1</v>
      </c>
      <c r="C2" s="85" t="s">
        <v>28</v>
      </c>
      <c r="D2" s="85" t="s">
        <v>2</v>
      </c>
      <c r="E2" s="85" t="s">
        <v>59</v>
      </c>
      <c r="F2" s="86" t="s">
        <v>61</v>
      </c>
    </row>
    <row r="3" spans="2:6">
      <c r="B3" s="382" t="s">
        <v>127</v>
      </c>
      <c r="C3" s="39"/>
      <c r="D3" s="87" t="s">
        <v>146</v>
      </c>
      <c r="E3" s="39">
        <v>80</v>
      </c>
      <c r="F3" s="385">
        <v>80</v>
      </c>
    </row>
    <row r="4" spans="2:6">
      <c r="B4" s="383"/>
      <c r="C4" s="39"/>
      <c r="D4" s="87" t="s">
        <v>19</v>
      </c>
      <c r="E4" s="39">
        <v>160</v>
      </c>
      <c r="F4" s="386"/>
    </row>
    <row r="5" spans="2:6">
      <c r="B5" s="383"/>
      <c r="C5" s="39"/>
      <c r="D5" s="87" t="s">
        <v>21</v>
      </c>
      <c r="E5" s="39">
        <v>80</v>
      </c>
      <c r="F5" s="386"/>
    </row>
    <row r="6" spans="2:6" ht="14.25" thickBot="1">
      <c r="B6" s="384"/>
      <c r="C6" s="88"/>
      <c r="D6" s="89" t="s">
        <v>20</v>
      </c>
      <c r="E6" s="88">
        <v>80</v>
      </c>
      <c r="F6" s="387"/>
    </row>
    <row r="7" spans="2:6" ht="14.25" thickBot="1"/>
    <row r="8" spans="2:6">
      <c r="B8" s="90" t="s">
        <v>97</v>
      </c>
      <c r="C8" s="91" t="s">
        <v>98</v>
      </c>
      <c r="D8" s="91" t="s">
        <v>99</v>
      </c>
      <c r="E8" s="91" t="s">
        <v>100</v>
      </c>
      <c r="F8" s="92" t="s">
        <v>101</v>
      </c>
    </row>
    <row r="9" spans="2:6">
      <c r="B9" s="388" t="s">
        <v>102</v>
      </c>
      <c r="C9" s="65"/>
      <c r="D9" s="60" t="s">
        <v>157</v>
      </c>
      <c r="E9" s="45">
        <v>80</v>
      </c>
      <c r="F9" s="93">
        <v>80</v>
      </c>
    </row>
    <row r="10" spans="2:6">
      <c r="B10" s="388"/>
      <c r="C10" s="65"/>
      <c r="D10" s="60" t="s">
        <v>8</v>
      </c>
      <c r="E10" s="45">
        <v>40</v>
      </c>
      <c r="F10" s="390">
        <v>40</v>
      </c>
    </row>
    <row r="11" spans="2:6" ht="14.25" thickBot="1">
      <c r="B11" s="389"/>
      <c r="C11" s="94"/>
      <c r="D11" s="95" t="s">
        <v>158</v>
      </c>
      <c r="E11" s="96">
        <v>160</v>
      </c>
      <c r="F11" s="391"/>
    </row>
    <row r="12" spans="2:6" ht="14.25" thickBot="1"/>
    <row r="13" spans="2:6">
      <c r="B13" s="97" t="s">
        <v>97</v>
      </c>
      <c r="C13" s="98" t="s">
        <v>98</v>
      </c>
      <c r="D13" s="98" t="s">
        <v>99</v>
      </c>
      <c r="E13" s="98" t="s">
        <v>100</v>
      </c>
      <c r="F13" s="99" t="s">
        <v>101</v>
      </c>
    </row>
    <row r="14" spans="2:6">
      <c r="B14" s="392" t="s">
        <v>23</v>
      </c>
      <c r="C14" s="42" t="s">
        <v>103</v>
      </c>
      <c r="D14" s="100" t="s">
        <v>301</v>
      </c>
      <c r="E14" s="42">
        <v>160</v>
      </c>
      <c r="F14" s="395">
        <v>80</v>
      </c>
    </row>
    <row r="15" spans="2:6">
      <c r="B15" s="393"/>
      <c r="C15" s="42" t="s">
        <v>104</v>
      </c>
      <c r="D15" s="100" t="s">
        <v>105</v>
      </c>
      <c r="E15" s="42">
        <v>160</v>
      </c>
      <c r="F15" s="396"/>
    </row>
    <row r="16" spans="2:6">
      <c r="B16" s="393"/>
      <c r="C16" s="42" t="s">
        <v>103</v>
      </c>
      <c r="D16" s="100" t="s">
        <v>106</v>
      </c>
      <c r="E16" s="64">
        <v>80</v>
      </c>
      <c r="F16" s="396"/>
    </row>
    <row r="17" spans="2:6">
      <c r="B17" s="393"/>
      <c r="C17" s="42" t="s">
        <v>103</v>
      </c>
      <c r="D17" s="100" t="s">
        <v>107</v>
      </c>
      <c r="E17" s="64">
        <v>160</v>
      </c>
      <c r="F17" s="396"/>
    </row>
    <row r="18" spans="2:6">
      <c r="B18" s="393"/>
      <c r="C18" s="42" t="s">
        <v>104</v>
      </c>
      <c r="D18" s="100" t="s">
        <v>108</v>
      </c>
      <c r="E18" s="42">
        <v>80</v>
      </c>
      <c r="F18" s="396"/>
    </row>
    <row r="19" spans="2:6" ht="14.25" thickBot="1">
      <c r="B19" s="394"/>
      <c r="C19" s="42" t="s">
        <v>104</v>
      </c>
      <c r="D19" s="101" t="s">
        <v>109</v>
      </c>
      <c r="E19" s="102">
        <v>160</v>
      </c>
      <c r="F19" s="397"/>
    </row>
  </sheetData>
  <mergeCells count="6">
    <mergeCell ref="B3:B6"/>
    <mergeCell ref="F3:F6"/>
    <mergeCell ref="B9:B11"/>
    <mergeCell ref="F10:F11"/>
    <mergeCell ref="B14:B19"/>
    <mergeCell ref="F14:F19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命名范围</vt:lpstr>
      </vt:variant>
      <vt:variant>
        <vt:i4>6</vt:i4>
      </vt:variant>
    </vt:vector>
  </HeadingPairs>
  <TitlesOfParts>
    <vt:vector size="18" baseType="lpstr">
      <vt:lpstr>NexthopResource</vt:lpstr>
      <vt:lpstr>NextHop</vt:lpstr>
      <vt:lpstr>Key Resource</vt:lpstr>
      <vt:lpstr>Resource</vt:lpstr>
      <vt:lpstr>SPEC</vt:lpstr>
      <vt:lpstr>KeyOverView</vt:lpstr>
      <vt:lpstr>SCLKey</vt:lpstr>
      <vt:lpstr>Tunnul Decap</vt:lpstr>
      <vt:lpstr>OAM</vt:lpstr>
      <vt:lpstr>ACL Key</vt:lpstr>
      <vt:lpstr>IP</vt:lpstr>
      <vt:lpstr>Sheet1</vt:lpstr>
      <vt:lpstr>DYNAMIC</vt:lpstr>
      <vt:lpstr>FlowTCAM</vt:lpstr>
      <vt:lpstr>Global</vt:lpstr>
      <vt:lpstr>IpTcam</vt:lpstr>
      <vt:lpstr>Spec</vt:lpstr>
      <vt:lpstr>TCAM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zhaomc</cp:lastModifiedBy>
  <dcterms:created xsi:type="dcterms:W3CDTF">2006-09-13T11:21:51Z</dcterms:created>
  <dcterms:modified xsi:type="dcterms:W3CDTF">2018-03-14T06:51:54Z</dcterms:modified>
</cp:coreProperties>
</file>