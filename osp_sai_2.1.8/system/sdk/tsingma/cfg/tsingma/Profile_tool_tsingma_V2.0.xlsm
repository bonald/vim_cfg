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0" yWindow="90" windowWidth="15390" windowHeight="7815" tabRatio="671" activeTab="3"/>
  </bookViews>
  <sheets>
    <sheet name="NexthopResource" sheetId="2" r:id="rId1"/>
    <sheet name="NextHop" sheetId="17" r:id="rId2"/>
    <sheet name="Key Resource" sheetId="14" r:id="rId3"/>
    <sheet name="Resource" sheetId="15" r:id="rId4"/>
    <sheet name="SPEC" sheetId="16" r:id="rId5"/>
    <sheet name="KeyOverView" sheetId="4" r:id="rId6"/>
    <sheet name="SCLKey" sheetId="5" r:id="rId7"/>
    <sheet name="Tunnul Decap" sheetId="6" r:id="rId8"/>
    <sheet name="OAM" sheetId="7" r:id="rId9"/>
    <sheet name="ACL Key" sheetId="12" r:id="rId10"/>
    <sheet name="IP" sheetId="13" r:id="rId11"/>
  </sheets>
  <definedNames>
    <definedName name="DYNAMIC">Resource!$A$4</definedName>
    <definedName name="FlowTCAM">Resource!$A$87</definedName>
    <definedName name="Global">SPEC!$E$2</definedName>
    <definedName name="IpTcam">Resource!$A$115</definedName>
    <definedName name="Spec">SPEC!$A$2</definedName>
    <definedName name="TCAM">Resource!$A$87</definedName>
  </definedNames>
  <calcPr calcId="125725"/>
</workbook>
</file>

<file path=xl/calcChain.xml><?xml version="1.0" encoding="utf-8"?>
<calcChain xmlns="http://schemas.openxmlformats.org/spreadsheetml/2006/main">
  <c r="K11" i="14"/>
  <c r="J11"/>
  <c r="N22"/>
  <c r="K10"/>
  <c r="J10"/>
  <c r="K9"/>
  <c r="J9"/>
  <c r="J8"/>
  <c r="J13"/>
  <c r="L13" s="1"/>
  <c r="J16"/>
  <c r="L10" l="1"/>
  <c r="K8"/>
  <c r="L8" s="1"/>
  <c r="L9"/>
  <c r="K5"/>
  <c r="J5"/>
  <c r="L51" i="2"/>
  <c r="K51"/>
  <c r="J51"/>
  <c r="I51"/>
  <c r="H51"/>
  <c r="G51"/>
  <c r="F51"/>
  <c r="E51"/>
  <c r="D51"/>
  <c r="J14" i="14" l="1"/>
  <c r="L14" s="1"/>
  <c r="L5"/>
  <c r="E63" i="15"/>
  <c r="D55"/>
  <c r="D22"/>
  <c r="D23"/>
  <c r="D21"/>
  <c r="AA28"/>
  <c r="AA29"/>
  <c r="AA27"/>
  <c r="AA31"/>
  <c r="E151"/>
  <c r="G40"/>
  <c r="G38"/>
  <c r="G36"/>
  <c r="G34"/>
  <c r="E40"/>
  <c r="E39"/>
  <c r="E38"/>
  <c r="E36"/>
  <c r="E34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4"/>
  <c r="E65"/>
  <c r="E66"/>
  <c r="E67"/>
  <c r="E68"/>
  <c r="E69"/>
  <c r="E70"/>
  <c r="E71"/>
  <c r="E72"/>
  <c r="E73"/>
  <c r="E74"/>
  <c r="E75"/>
  <c r="E76"/>
  <c r="E77"/>
  <c r="E78"/>
  <c r="E79"/>
  <c r="E80"/>
  <c r="E41"/>
  <c r="E35"/>
  <c r="E37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4"/>
  <c r="G33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15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87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5"/>
  <c r="G37"/>
  <c r="G39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4"/>
  <c r="G65"/>
  <c r="G66"/>
  <c r="G67"/>
  <c r="G68"/>
  <c r="G69"/>
  <c r="G70"/>
  <c r="G71"/>
  <c r="G72"/>
  <c r="G73"/>
  <c r="G74"/>
  <c r="G75"/>
  <c r="G76"/>
  <c r="G77"/>
  <c r="G78"/>
  <c r="G79"/>
  <c r="G80"/>
  <c r="G4"/>
  <c r="F56"/>
  <c r="M15" i="14" s="1"/>
  <c r="E111" i="15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F88" s="1"/>
  <c r="E87"/>
  <c r="E143"/>
  <c r="E115"/>
  <c r="E117"/>
  <c r="E119"/>
  <c r="E121"/>
  <c r="E123"/>
  <c r="E125"/>
  <c r="E127"/>
  <c r="E129"/>
  <c r="E131"/>
  <c r="E133"/>
  <c r="E135"/>
  <c r="E137"/>
  <c r="E139"/>
  <c r="E141"/>
  <c r="E145"/>
  <c r="E147"/>
  <c r="E149"/>
  <c r="G7" i="16"/>
  <c r="G63" i="15" l="1"/>
  <c r="F33"/>
  <c r="M11" i="14" s="1"/>
  <c r="F50" i="15"/>
  <c r="F12"/>
  <c r="F57"/>
  <c r="F64"/>
  <c r="F77"/>
  <c r="F69"/>
  <c r="F89"/>
  <c r="F14"/>
  <c r="M8" i="14" s="1"/>
  <c r="O8" s="1"/>
  <c r="F72" i="15"/>
  <c r="B55" i="2" s="1"/>
  <c r="F9" i="15"/>
  <c r="F30"/>
  <c r="M10" i="14" s="1"/>
  <c r="F47" i="15"/>
  <c r="F41"/>
  <c r="M17" i="14" s="1"/>
  <c r="F24" i="15"/>
  <c r="F32"/>
  <c r="F42"/>
  <c r="M14" i="14" s="1"/>
  <c r="F4" i="15"/>
  <c r="F151"/>
  <c r="G6" i="16"/>
  <c r="M5" i="14" l="1"/>
  <c r="O19"/>
  <c r="O20"/>
  <c r="O18"/>
  <c r="F139" i="15"/>
  <c r="F115"/>
  <c r="F127"/>
  <c r="B56" i="2" l="1"/>
  <c r="F111" i="15"/>
  <c r="F110"/>
  <c r="F109"/>
  <c r="F87"/>
  <c r="F91" l="1"/>
  <c r="F95"/>
  <c r="F101"/>
  <c r="F107"/>
  <c r="F103"/>
  <c r="F93"/>
  <c r="F105"/>
  <c r="F99"/>
  <c r="F97"/>
  <c r="B57" i="2" l="1"/>
  <c r="AH3" i="15" l="1"/>
  <c r="K7" i="14"/>
  <c r="J7"/>
  <c r="K6"/>
  <c r="J6"/>
  <c r="L18"/>
  <c r="L19" s="1"/>
  <c r="L17"/>
  <c r="O17" s="1"/>
  <c r="J15" l="1"/>
  <c r="L7"/>
  <c r="L6"/>
  <c r="L11"/>
  <c r="B58" i="2"/>
  <c r="N11" i="14"/>
  <c r="N5"/>
  <c r="L20"/>
  <c r="L22"/>
  <c r="L15"/>
  <c r="O22" l="1"/>
  <c r="C56" i="2" l="1"/>
  <c r="B63" s="1"/>
  <c r="B65"/>
  <c r="C65" s="1"/>
  <c r="C58"/>
  <c r="C57"/>
  <c r="B64" s="1"/>
  <c r="C64" s="1"/>
  <c r="B49"/>
  <c r="B62"/>
  <c r="C62" s="1"/>
  <c r="C55"/>
  <c r="B50"/>
  <c r="C63"/>
  <c r="O15" i="14" l="1"/>
  <c r="O14"/>
  <c r="M16"/>
  <c r="O16" s="1"/>
  <c r="M6"/>
  <c r="O6" s="1"/>
  <c r="M9"/>
  <c r="O9" s="1"/>
  <c r="O10"/>
  <c r="M7"/>
  <c r="O7" s="1"/>
  <c r="O11"/>
  <c r="M13"/>
  <c r="O13" s="1"/>
  <c r="O5"/>
</calcChain>
</file>

<file path=xl/comments1.xml><?xml version="1.0" encoding="utf-8"?>
<comments xmlns="http://schemas.openxmlformats.org/spreadsheetml/2006/main">
  <authors>
    <author>作者</author>
    <author>zhaozc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
此列表示芯片支持的业务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此列表示用户期望的对应业务的规格。此列需要用户填写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wangt:</t>
        </r>
        <r>
          <rPr>
            <b/>
            <sz val="9"/>
            <color indexed="81"/>
            <rFont val="宋体"/>
            <family val="3"/>
            <charset val="134"/>
          </rPr>
          <t>此列表示从用户角度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的大小</t>
        </r>
      </text>
    </comment>
    <comment ref="M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具体资源的配置请在</t>
        </r>
        <r>
          <rPr>
            <sz val="9"/>
            <color indexed="81"/>
            <rFont val="Tahoma"/>
            <family val="2"/>
          </rPr>
          <t>Resource sheet</t>
        </r>
        <r>
          <rPr>
            <sz val="9"/>
            <color indexed="81"/>
            <rFont val="宋体"/>
            <family val="3"/>
            <charset val="134"/>
          </rPr>
          <t xml:space="preserve">中进行设置
</t>
        </r>
      </text>
    </comment>
    <comment ref="C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对于</t>
        </r>
        <r>
          <rPr>
            <sz val="9"/>
            <color indexed="81"/>
            <rFont val="Tahoma"/>
            <family val="2"/>
          </rPr>
          <t xml:space="preserve">egress </t>
        </r>
        <r>
          <rPr>
            <sz val="9"/>
            <color indexed="81"/>
            <rFont val="宋体"/>
            <family val="3"/>
            <charset val="134"/>
          </rPr>
          <t>其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与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>是放在一起的，故</t>
        </r>
        <r>
          <rPr>
            <sz val="9"/>
            <color indexed="81"/>
            <rFont val="Tahoma"/>
            <family val="2"/>
          </rPr>
          <t>userid ad</t>
        </r>
        <r>
          <rPr>
            <sz val="9"/>
            <color indexed="81"/>
            <rFont val="宋体"/>
            <family val="3"/>
            <charset val="134"/>
          </rPr>
          <t>中不对其进行计数</t>
        </r>
      </text>
    </comment>
    <comment ref="B1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其中</t>
        </r>
        <r>
          <rPr>
            <sz val="9"/>
            <color indexed="81"/>
            <rFont val="Tahoma"/>
            <family val="2"/>
          </rPr>
          <t>NAT</t>
        </r>
        <r>
          <rPr>
            <sz val="9"/>
            <color indexed="81"/>
            <rFont val="宋体"/>
            <family val="3"/>
            <charset val="134"/>
          </rPr>
          <t>具体使用的硬表，参见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宋体"/>
            <family val="3"/>
            <charset val="134"/>
          </rPr>
          <t>（</t>
        </r>
        <r>
          <rPr>
            <sz val="9"/>
            <color indexed="81"/>
            <rFont val="Tahoma"/>
            <family val="2"/>
          </rPr>
          <t>IP</t>
        </r>
        <r>
          <rPr>
            <sz val="9"/>
            <color indexed="81"/>
            <rFont val="宋体"/>
            <family val="3"/>
            <charset val="134"/>
          </rPr>
          <t>）</t>
        </r>
      </text>
    </comment>
    <comment ref="I13" authorId="0">
      <text>
        <r>
          <rPr>
            <b/>
            <sz val="9"/>
            <color indexed="81"/>
            <rFont val="宋体"/>
            <family val="3"/>
            <charset val="134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dsmac</t>
        </r>
        <r>
          <rPr>
            <sz val="9"/>
            <color indexed="81"/>
            <rFont val="宋体"/>
            <family val="3"/>
            <charset val="134"/>
          </rPr>
          <t>是以</t>
        </r>
        <r>
          <rPr>
            <sz val="9"/>
            <color indexed="81"/>
            <rFont val="Tahoma"/>
            <family val="2"/>
          </rPr>
          <t>80bit</t>
        </r>
        <r>
          <rPr>
            <sz val="9"/>
            <color indexed="81"/>
            <rFont val="宋体"/>
            <family val="3"/>
            <charset val="134"/>
          </rPr>
          <t>为单位的
备注：由于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：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>的比值存在很大的情况，故这里计算出的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 xml:space="preserve">的大小略大于资源的大小是可以接受的
</t>
        </r>
      </text>
    </comment>
    <comment ref="J13" authorId="1">
      <text>
        <r>
          <rPr>
            <b/>
            <sz val="9"/>
            <color indexed="81"/>
            <rFont val="Tahoma"/>
            <family val="2"/>
          </rPr>
          <t>zhaozc:
1. logic port</t>
        </r>
        <r>
          <rPr>
            <b/>
            <sz val="9"/>
            <color indexed="81"/>
            <rFont val="宋体"/>
            <family val="3"/>
            <charset val="134"/>
          </rPr>
          <t>默认占用</t>
        </r>
        <r>
          <rPr>
            <b/>
            <sz val="9"/>
            <color indexed="81"/>
            <rFont val="Tahoma"/>
            <family val="2"/>
          </rPr>
          <t>2K
2. key</t>
        </r>
        <r>
          <rPr>
            <b/>
            <sz val="9"/>
            <color indexed="81"/>
            <rFont val="宋体"/>
            <family val="3"/>
            <charset val="134"/>
          </rPr>
          <t>和</t>
        </r>
        <r>
          <rPr>
            <b/>
            <sz val="9"/>
            <color indexed="81"/>
            <rFont val="Tahoma"/>
            <family val="2"/>
          </rPr>
          <t xml:space="preserve">ad </t>
        </r>
        <r>
          <rPr>
            <b/>
            <sz val="9"/>
            <color indexed="81"/>
            <rFont val="宋体"/>
            <family val="3"/>
            <charset val="134"/>
          </rPr>
          <t>按照</t>
        </r>
        <r>
          <rPr>
            <b/>
            <sz val="9"/>
            <color indexed="81"/>
            <rFont val="Tahoma"/>
            <family val="2"/>
          </rPr>
          <t>1:24</t>
        </r>
        <r>
          <rPr>
            <b/>
            <sz val="9"/>
            <color indexed="81"/>
            <rFont val="宋体"/>
            <family val="3"/>
            <charset val="134"/>
          </rPr>
          <t>计算</t>
        </r>
      </text>
    </comment>
    <comment ref="C15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OAM</t>
        </r>
        <r>
          <rPr>
            <sz val="9"/>
            <color indexed="81"/>
            <rFont val="宋体"/>
            <family val="3"/>
            <charset val="134"/>
          </rPr>
          <t>中包括：</t>
        </r>
        <r>
          <rPr>
            <sz val="9"/>
            <color indexed="81"/>
            <rFont val="Tahoma"/>
            <family val="2"/>
          </rPr>
          <t>BFD</t>
        </r>
        <r>
          <rPr>
            <sz val="9"/>
            <color indexed="81"/>
            <rFont val="宋体"/>
            <family val="3"/>
            <charset val="134"/>
          </rPr>
          <t>、</t>
        </r>
        <r>
          <rPr>
            <sz val="9"/>
            <color indexed="81"/>
            <rFont val="Tahoma"/>
            <family val="2"/>
          </rPr>
          <t>ETHOAM</t>
        </r>
        <r>
          <rPr>
            <sz val="9"/>
            <color indexed="81"/>
            <rFont val="宋体"/>
            <family val="3"/>
            <charset val="134"/>
          </rPr>
          <t>、</t>
        </r>
        <r>
          <rPr>
            <sz val="9"/>
            <color indexed="81"/>
            <rFont val="Tahoma"/>
            <family val="2"/>
          </rPr>
          <t>Y1731</t>
        </r>
      </text>
    </comment>
    <comment ref="I16" authorId="0">
      <text>
        <r>
          <rPr>
            <b/>
            <sz val="9"/>
            <color indexed="81"/>
            <rFont val="宋体"/>
            <family val="3"/>
            <charset val="134"/>
          </rPr>
          <t>作者:
对于主机路由，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 xml:space="preserve">AD = 1:1
</t>
        </r>
        <r>
          <rPr>
            <b/>
            <sz val="9"/>
            <color indexed="81"/>
            <rFont val="宋体"/>
            <family val="3"/>
            <charset val="134"/>
          </rPr>
          <t>对于</t>
        </r>
        <r>
          <rPr>
            <b/>
            <sz val="9"/>
            <color indexed="81"/>
            <rFont val="Tahoma"/>
            <family val="2"/>
          </rPr>
          <t>IPMC</t>
        </r>
        <r>
          <rPr>
            <b/>
            <sz val="9"/>
            <color indexed="81"/>
            <rFont val="宋体"/>
            <family val="3"/>
            <charset val="134"/>
          </rPr>
          <t>，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 xml:space="preserve">AD=1:1
</t>
        </r>
        <r>
          <rPr>
            <b/>
            <sz val="9"/>
            <color indexed="81"/>
            <rFont val="宋体"/>
            <family val="3"/>
            <charset val="134"/>
          </rPr>
          <t>对于非主机路由，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>AD=2:1</t>
        </r>
      </text>
    </comment>
    <comment ref="I1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此值为</t>
        </r>
        <r>
          <rPr>
            <sz val="9"/>
            <color indexed="81"/>
            <rFont val="Tahoma"/>
            <family val="2"/>
          </rPr>
          <t>OAM</t>
        </r>
        <r>
          <rPr>
            <sz val="9"/>
            <color indexed="81"/>
            <rFont val="宋体"/>
            <family val="3"/>
            <charset val="134"/>
          </rPr>
          <t>会话数目的</t>
        </r>
        <r>
          <rPr>
            <sz val="9"/>
            <color indexed="81"/>
            <rFont val="Tahoma"/>
            <family val="2"/>
          </rPr>
          <t>1/4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zhaozc:</t>
        </r>
        <r>
          <rPr>
            <sz val="9"/>
            <color indexed="81"/>
            <rFont val="Tahoma"/>
            <family val="2"/>
          </rPr>
          <t xml:space="preserve">
LM:MEP:MA:MA_NAME=1:4:1:2
</t>
        </r>
      </text>
    </comment>
    <comment ref="E19" authorId="1">
      <text>
        <r>
          <rPr>
            <b/>
            <sz val="9"/>
            <color indexed="81"/>
            <rFont val="Tahoma"/>
            <family val="2"/>
          </rPr>
          <t>zhaozc:</t>
        </r>
        <r>
          <rPr>
            <sz val="9"/>
            <color indexed="81"/>
            <rFont val="Tahoma"/>
            <family val="2"/>
          </rPr>
          <t xml:space="preserve">
320bit</t>
        </r>
        <r>
          <rPr>
            <sz val="9"/>
            <color indexed="81"/>
            <rFont val="宋体"/>
            <family val="3"/>
            <charset val="134"/>
          </rPr>
          <t>对应</t>
        </r>
        <r>
          <rPr>
            <sz val="9"/>
            <color indexed="81"/>
            <rFont val="Tahoma"/>
            <family val="2"/>
          </rPr>
          <t>lpm Sram</t>
        </r>
        <r>
          <rPr>
            <sz val="9"/>
            <color indexed="81"/>
            <rFont val="宋体"/>
            <family val="3"/>
            <charset val="134"/>
          </rPr>
          <t>大小，一条</t>
        </r>
        <r>
          <rPr>
            <sz val="9"/>
            <color indexed="81"/>
            <rFont val="Tahoma"/>
            <family val="2"/>
          </rPr>
          <t>Sram</t>
        </r>
        <r>
          <rPr>
            <sz val="9"/>
            <color indexed="81"/>
            <rFont val="宋体"/>
            <family val="3"/>
            <charset val="134"/>
          </rPr>
          <t>能够放置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宋体"/>
            <family val="3"/>
            <charset val="134"/>
          </rPr>
          <t xml:space="preserve">条路由
</t>
        </r>
        <r>
          <rPr>
            <sz val="9"/>
            <color indexed="81"/>
            <rFont val="Tahoma"/>
            <family val="2"/>
          </rPr>
          <t xml:space="preserve">40bit </t>
        </r>
        <r>
          <rPr>
            <sz val="9"/>
            <color indexed="81"/>
            <rFont val="宋体"/>
            <family val="3"/>
            <charset val="134"/>
          </rPr>
          <t>对应</t>
        </r>
        <r>
          <rPr>
            <sz val="9"/>
            <color indexed="81"/>
            <rFont val="Tahoma"/>
            <family val="2"/>
          </rPr>
          <t>tcam</t>
        </r>
        <r>
          <rPr>
            <sz val="9"/>
            <color indexed="81"/>
            <rFont val="宋体"/>
            <family val="3"/>
            <charset val="134"/>
          </rPr>
          <t>大小</t>
        </r>
      </text>
    </comment>
    <comment ref="C2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对于存在</t>
        </r>
        <r>
          <rPr>
            <sz val="9"/>
            <color indexed="81"/>
            <rFont val="Tahoma"/>
            <family val="2"/>
          </rPr>
          <t>DA+SA</t>
        </r>
        <r>
          <rPr>
            <sz val="9"/>
            <color indexed="81"/>
            <rFont val="宋体"/>
            <family val="3"/>
            <charset val="134"/>
          </rPr>
          <t>的情况，</t>
        </r>
        <r>
          <rPr>
            <sz val="9"/>
            <color indexed="81"/>
            <rFont val="Tahoma"/>
            <family val="2"/>
          </rPr>
          <t>fibhost0</t>
        </r>
        <r>
          <rPr>
            <sz val="9"/>
            <color indexed="81"/>
            <rFont val="宋体"/>
            <family val="3"/>
            <charset val="134"/>
          </rPr>
          <t>与</t>
        </r>
        <r>
          <rPr>
            <sz val="9"/>
            <color indexed="81"/>
            <rFont val="Tahoma"/>
            <family val="2"/>
          </rPr>
          <t>fibhost1</t>
        </r>
        <r>
          <rPr>
            <sz val="9"/>
            <color indexed="81"/>
            <rFont val="宋体"/>
            <family val="3"/>
            <charset val="134"/>
          </rPr>
          <t>都需要下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；对于只有</t>
        </r>
        <r>
          <rPr>
            <sz val="9"/>
            <color indexed="81"/>
            <rFont val="Tahoma"/>
            <family val="2"/>
          </rPr>
          <t>SA</t>
        </r>
        <r>
          <rPr>
            <sz val="9"/>
            <color indexed="81"/>
            <rFont val="宋体"/>
            <family val="3"/>
            <charset val="134"/>
          </rPr>
          <t>的情况只下载</t>
        </r>
        <r>
          <rPr>
            <sz val="9"/>
            <color indexed="81"/>
            <rFont val="Tahoma"/>
            <family val="2"/>
          </rPr>
          <t>fibhost1</t>
        </r>
        <r>
          <rPr>
            <sz val="9"/>
            <color indexed="81"/>
            <rFont val="宋体"/>
            <family val="3"/>
            <charset val="134"/>
          </rPr>
          <t>中。故需要在两个表中都统计</t>
        </r>
        <r>
          <rPr>
            <sz val="9"/>
            <color indexed="81"/>
            <rFont val="Tahoma"/>
            <family val="2"/>
          </rPr>
          <t>IPMC</t>
        </r>
      </text>
    </comment>
    <comment ref="D2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由于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：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>比值预期</t>
        </r>
        <r>
          <rPr>
            <sz val="9"/>
            <color indexed="81"/>
            <rFont val="Tahoma"/>
            <family val="2"/>
          </rPr>
          <t>4:1.</t>
        </r>
        <r>
          <rPr>
            <sz val="9"/>
            <color indexed="81"/>
            <rFont val="宋体"/>
            <family val="3"/>
            <charset val="134"/>
          </rPr>
          <t>故此处值不能小于</t>
        </r>
        <r>
          <rPr>
            <sz val="9"/>
            <color indexed="81"/>
            <rFont val="Tahoma"/>
            <family val="2"/>
          </rPr>
          <t>4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作者:
这里填写所支持的业务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作者:
这里填写模块使用到的硬表
</t>
        </r>
      </text>
    </comment>
  </commentList>
</comments>
</file>

<file path=xl/sharedStrings.xml><?xml version="1.0" encoding="utf-8"?>
<sst xmlns="http://schemas.openxmlformats.org/spreadsheetml/2006/main" count="1009" uniqueCount="667">
  <si>
    <t>Module</t>
    <phoneticPr fontId="1" type="noConversion"/>
  </si>
  <si>
    <t>App</t>
    <phoneticPr fontId="1" type="noConversion"/>
  </si>
  <si>
    <t>Keys</t>
    <phoneticPr fontId="1" type="noConversion"/>
  </si>
  <si>
    <t>DsUserIdDoubleVlanPortHashKey</t>
    <phoneticPr fontId="1" type="noConversion"/>
  </si>
  <si>
    <t>DsUserIdMacHashKey</t>
    <phoneticPr fontId="1" type="noConversion"/>
  </si>
  <si>
    <t>DsUserIdPortHashKey</t>
    <phoneticPr fontId="1" type="noConversion"/>
  </si>
  <si>
    <t>KeySize(bit)</t>
    <phoneticPr fontId="1" type="noConversion"/>
  </si>
  <si>
    <t>DsLpmTcamIpv440Key</t>
    <phoneticPr fontId="1" type="noConversion"/>
  </si>
  <si>
    <t>DsFlowL3Ipv4HashKey</t>
    <phoneticPr fontId="1" type="noConversion"/>
  </si>
  <si>
    <t>DsFlowL2L3HashKey</t>
    <phoneticPr fontId="1" type="noConversion"/>
  </si>
  <si>
    <t>DsFlowL3MplsHashKey</t>
    <phoneticPr fontId="1" type="noConversion"/>
  </si>
  <si>
    <t>DsEgressXcOamEthHashKey</t>
    <phoneticPr fontId="1" type="noConversion"/>
  </si>
  <si>
    <t>DsEgressXcOamMplsSectionHashKey</t>
    <phoneticPr fontId="1" type="noConversion"/>
  </si>
  <si>
    <t>DsEgressXcOamRmepHashKey</t>
    <phoneticPr fontId="1" type="noConversion"/>
  </si>
  <si>
    <t>DsUserIdTunnelIpv4DaHashKey</t>
    <phoneticPr fontId="1" type="noConversion"/>
  </si>
  <si>
    <t>DsUserIdTunnelIpv4GreKeyHashKey</t>
    <phoneticPr fontId="1" type="noConversion"/>
  </si>
  <si>
    <t>DsUserIdTunnelIpv4HashKey</t>
    <phoneticPr fontId="1" type="noConversion"/>
  </si>
  <si>
    <t>DsUserIdTunnelIpv4RpfHashKey</t>
    <phoneticPr fontId="1" type="noConversion"/>
  </si>
  <si>
    <t>DsFibHost0Ipv6UcastHashKey</t>
    <phoneticPr fontId="1" type="noConversion"/>
  </si>
  <si>
    <t>DsFibHost1Ipv4NatSaPortHashKey</t>
    <phoneticPr fontId="1" type="noConversion"/>
  </si>
  <si>
    <t>DsFibHost1Ipv4NatDaPortHashKey</t>
    <phoneticPr fontId="1" type="noConversion"/>
  </si>
  <si>
    <t>IP Host</t>
    <phoneticPr fontId="1" type="noConversion"/>
  </si>
  <si>
    <t>IPMC</t>
    <phoneticPr fontId="1" type="noConversion"/>
  </si>
  <si>
    <t>Vlan Mapping</t>
    <phoneticPr fontId="1" type="noConversion"/>
  </si>
  <si>
    <t>Vlan Class</t>
    <phoneticPr fontId="1" type="noConversion"/>
  </si>
  <si>
    <t>IP Source Guard</t>
    <phoneticPr fontId="1" type="noConversion"/>
  </si>
  <si>
    <t>SCL</t>
    <phoneticPr fontId="1" type="noConversion"/>
  </si>
  <si>
    <t>Sub App</t>
    <phoneticPr fontId="1" type="noConversion"/>
  </si>
  <si>
    <t xml:space="preserve">mac-based </t>
    <phoneticPr fontId="1" type="noConversion"/>
  </si>
  <si>
    <t>ipv4-based</t>
    <phoneticPr fontId="1" type="noConversion"/>
  </si>
  <si>
    <t>ipv6-based</t>
    <phoneticPr fontId="1" type="noConversion"/>
  </si>
  <si>
    <t>DsUserIdIpv6PortHashKey</t>
    <phoneticPr fontId="1" type="noConversion"/>
  </si>
  <si>
    <t>VLAN MAPPING</t>
    <phoneticPr fontId="1" type="noConversion"/>
  </si>
  <si>
    <t>DsUserIdSvlanPortHashKey</t>
    <phoneticPr fontId="1" type="noConversion"/>
  </si>
  <si>
    <t>i</t>
    <phoneticPr fontId="1" type="noConversion"/>
  </si>
  <si>
    <t>IP Tunnel</t>
    <phoneticPr fontId="1" type="noConversion"/>
  </si>
  <si>
    <t>IPUC Tunnel</t>
    <phoneticPr fontId="1" type="noConversion"/>
  </si>
  <si>
    <t>NVGRE</t>
    <phoneticPr fontId="1" type="noConversion"/>
  </si>
  <si>
    <t>DsUserIdTunnelIpv4NvgreMode1HashKey</t>
  </si>
  <si>
    <t>DsUserIdTunnelIpv4UcNvgreMode0HashKey</t>
  </si>
  <si>
    <t>DsUserIdTunnelIpv4UcNvgreMode1HashKey</t>
  </si>
  <si>
    <t>DsUserIdTunnelIpv6McNvgreMode0HashKey</t>
  </si>
  <si>
    <t>DsUserIdTunnelIpv6McNvgreMode1HashKey</t>
  </si>
  <si>
    <t>DsUserIdTunnelIpv6UcNvgreMode0HashKey</t>
  </si>
  <si>
    <t>VXLAN</t>
    <phoneticPr fontId="1" type="noConversion"/>
  </si>
  <si>
    <t>DsUserIdTunnelIpv4McVxlanMode0HashKey</t>
  </si>
  <si>
    <t>DsUserIdTunnelIpv4VxlanMode1HashKey</t>
  </si>
  <si>
    <t>DsUserIdTunnelIpv4UcVxlanMode0HashKey</t>
  </si>
  <si>
    <t>DsUserIdTunnelIpv4UcVxlanMode1HashKey</t>
  </si>
  <si>
    <t>DsUserIdTunnelIpv6McVxlanMode0HashKey</t>
  </si>
  <si>
    <t>DsUserIdTunnelIpv6McVxlanMode1HashKey</t>
  </si>
  <si>
    <t>DsUserIdTunnelIpv6UcVxlanMode0HashKey</t>
  </si>
  <si>
    <t>DsUserIdTunnelIpv6UcVxlanMode1HashKey</t>
  </si>
  <si>
    <t>DsUserIdIpv4PortHashKey</t>
    <phoneticPr fontId="1" type="noConversion"/>
  </si>
  <si>
    <t>VXLAN/VXLAN-GPE/GENEVE</t>
    <phoneticPr fontId="1" type="noConversion"/>
  </si>
  <si>
    <t>DsEgressXcOamBfdHashKey</t>
    <phoneticPr fontId="1" type="noConversion"/>
  </si>
  <si>
    <t>DsEgressXcOamMplsLabelHashKey</t>
    <phoneticPr fontId="1" type="noConversion"/>
  </si>
  <si>
    <t>L2MC</t>
    <phoneticPr fontId="1" type="noConversion"/>
  </si>
  <si>
    <t>Key Size</t>
    <phoneticPr fontId="1" type="noConversion"/>
  </si>
  <si>
    <t>Key Size</t>
    <phoneticPr fontId="1" type="noConversion"/>
  </si>
  <si>
    <t>Recommend Size</t>
    <phoneticPr fontId="1" type="noConversion"/>
  </si>
  <si>
    <t>Key Size</t>
    <phoneticPr fontId="1" type="noConversion"/>
  </si>
  <si>
    <t>Recommend Size</t>
    <phoneticPr fontId="1" type="noConversion"/>
  </si>
  <si>
    <t>Recommend Size</t>
    <phoneticPr fontId="1" type="noConversion"/>
  </si>
  <si>
    <t>SCL FLOW</t>
    <phoneticPr fontId="1" type="noConversion"/>
  </si>
  <si>
    <t>App</t>
    <phoneticPr fontId="1" type="noConversion"/>
  </si>
  <si>
    <t>Sub App</t>
    <phoneticPr fontId="1" type="noConversion"/>
  </si>
  <si>
    <t>Keys</t>
    <phoneticPr fontId="1" type="noConversion"/>
  </si>
  <si>
    <t>Key Size</t>
    <phoneticPr fontId="1" type="noConversion"/>
  </si>
  <si>
    <t>Recommend Size</t>
    <phoneticPr fontId="1" type="noConversion"/>
  </si>
  <si>
    <t>IP</t>
    <phoneticPr fontId="1" type="noConversion"/>
  </si>
  <si>
    <t>TP</t>
    <phoneticPr fontId="1" type="noConversion"/>
  </si>
  <si>
    <t>DsEgressXcOamMplsLabelHashKey</t>
    <phoneticPr fontId="1" type="noConversion"/>
  </si>
  <si>
    <t>DsEgressXcOamMplsSectionHashKey</t>
    <phoneticPr fontId="1" type="noConversion"/>
  </si>
  <si>
    <t>DsEgressXcOamDoubleVlanPortHashKey</t>
    <phoneticPr fontId="1" type="noConversion"/>
  </si>
  <si>
    <t>DsEgressXcOamSvlanPortMacHashKey</t>
    <phoneticPr fontId="1" type="noConversion"/>
  </si>
  <si>
    <t>DsUserIdPortHashKey</t>
    <phoneticPr fontId="1" type="noConversion"/>
  </si>
  <si>
    <t>DsUserIdDoubleVlanPortHashKey</t>
    <phoneticPr fontId="1" type="noConversion"/>
  </si>
  <si>
    <t>DsUserIdSvlanPortHashKey</t>
    <phoneticPr fontId="1" type="noConversion"/>
  </si>
  <si>
    <t>Overlay</t>
    <phoneticPr fontId="1" type="noConversion"/>
  </si>
  <si>
    <t>DsUserIdMacPortHashKey</t>
    <phoneticPr fontId="1" type="noConversion"/>
  </si>
  <si>
    <t>DsUserIdIpv6PortHashKey</t>
    <phoneticPr fontId="1" type="noConversion"/>
  </si>
  <si>
    <t>DsUserIdIpv4PortHashKey</t>
  </si>
  <si>
    <t>DsUserIdCvlanPortHashKey</t>
    <phoneticPr fontId="1" type="noConversion"/>
  </si>
  <si>
    <t>mac/mac+vlan/ip+mac+vlan</t>
    <phoneticPr fontId="1" type="noConversion"/>
  </si>
  <si>
    <t>DsUserIdMacPortHashKey</t>
    <phoneticPr fontId="1" type="noConversion"/>
  </si>
  <si>
    <t>ip/ip+mac/ip+vlan</t>
    <phoneticPr fontId="1" type="noConversion"/>
  </si>
  <si>
    <t>DsUserIdIpv4PortHashKey</t>
    <phoneticPr fontId="1" type="noConversion"/>
  </si>
  <si>
    <t>ipv6+mac</t>
    <phoneticPr fontId="1" type="noConversion"/>
  </si>
  <si>
    <t>DsUserIdIpv6SaHashKey</t>
  </si>
  <si>
    <t>ACL</t>
    <phoneticPr fontId="1" type="noConversion"/>
  </si>
  <si>
    <t>Flow Hash ACL</t>
    <phoneticPr fontId="1" type="noConversion"/>
  </si>
  <si>
    <t>ipv4-based</t>
  </si>
  <si>
    <t>mpls-based</t>
    <phoneticPr fontId="1" type="noConversion"/>
  </si>
  <si>
    <t>l2l3-based</t>
    <phoneticPr fontId="1" type="noConversion"/>
  </si>
  <si>
    <t>DsFlowL3Ipv6HashKey</t>
    <phoneticPr fontId="1" type="noConversion"/>
  </si>
  <si>
    <t>App</t>
    <phoneticPr fontId="1" type="noConversion"/>
  </si>
  <si>
    <t>Sub App</t>
    <phoneticPr fontId="1" type="noConversion"/>
  </si>
  <si>
    <t>Keys</t>
    <phoneticPr fontId="1" type="noConversion"/>
  </si>
  <si>
    <t>Key Size</t>
    <phoneticPr fontId="1" type="noConversion"/>
  </si>
  <si>
    <t>Recommend Size</t>
    <phoneticPr fontId="1" type="noConversion"/>
  </si>
  <si>
    <t>IP LPM</t>
    <phoneticPr fontId="1" type="noConversion"/>
  </si>
  <si>
    <t>IPMC</t>
    <phoneticPr fontId="1" type="noConversion"/>
  </si>
  <si>
    <t>L2MC</t>
    <phoneticPr fontId="1" type="noConversion"/>
  </si>
  <si>
    <t>DsFibHost0MacIpv6McastHashKey</t>
    <phoneticPr fontId="1" type="noConversion"/>
  </si>
  <si>
    <t>DsFibHost1Ipv4McastHashKey</t>
    <phoneticPr fontId="1" type="noConversion"/>
  </si>
  <si>
    <t>DsFibHost1Ipv6McastHashKey</t>
    <phoneticPr fontId="1" type="noConversion"/>
  </si>
  <si>
    <t>DsFibHost1MacIpv4McastHashKey</t>
    <phoneticPr fontId="1" type="noConversion"/>
  </si>
  <si>
    <t>DsFibHost1MacIpv6McastHashKey</t>
    <phoneticPr fontId="1" type="noConversion"/>
  </si>
  <si>
    <t>Module</t>
    <phoneticPr fontId="1" type="noConversion"/>
  </si>
  <si>
    <t>Application</t>
    <phoneticPr fontId="1" type="noConversion"/>
  </si>
  <si>
    <t>Key Size(bit)</t>
    <phoneticPr fontId="1" type="noConversion"/>
  </si>
  <si>
    <t>Rerource Name</t>
    <phoneticPr fontId="1" type="noConversion"/>
  </si>
  <si>
    <t>Total</t>
    <phoneticPr fontId="1" type="noConversion"/>
  </si>
  <si>
    <t>QinQ</t>
    <phoneticPr fontId="1" type="noConversion"/>
  </si>
  <si>
    <t>Vpws AC</t>
    <phoneticPr fontId="1" type="noConversion"/>
  </si>
  <si>
    <t>Vpls AC</t>
    <phoneticPr fontId="1" type="noConversion"/>
  </si>
  <si>
    <t>Vlan Tranlation （Ingress）</t>
    <phoneticPr fontId="1" type="noConversion"/>
  </si>
  <si>
    <t>Vlan Class</t>
    <phoneticPr fontId="1" type="noConversion"/>
  </si>
  <si>
    <t>Vlan Tranlation （Egress）</t>
    <phoneticPr fontId="1" type="noConversion"/>
  </si>
  <si>
    <t>QinQ</t>
    <phoneticPr fontId="1" type="noConversion"/>
  </si>
  <si>
    <t>BFD</t>
    <phoneticPr fontId="1" type="noConversion"/>
  </si>
  <si>
    <t>ETHOAM</t>
    <phoneticPr fontId="1" type="noConversion"/>
  </si>
  <si>
    <t>TP-Y1731</t>
    <phoneticPr fontId="1" type="noConversion"/>
  </si>
  <si>
    <t>ACL</t>
  </si>
  <si>
    <t>ACL</t>
    <phoneticPr fontId="1" type="noConversion"/>
  </si>
  <si>
    <t>IP Host</t>
    <phoneticPr fontId="1" type="noConversion"/>
  </si>
  <si>
    <t>Indirect Route</t>
    <phoneticPr fontId="1" type="noConversion"/>
  </si>
  <si>
    <t>Tunnul Decap</t>
    <phoneticPr fontId="1" type="noConversion"/>
  </si>
  <si>
    <t>OAM</t>
    <phoneticPr fontId="1" type="noConversion"/>
  </si>
  <si>
    <t>MPLS</t>
    <phoneticPr fontId="1" type="noConversion"/>
  </si>
  <si>
    <t>MAC</t>
    <phoneticPr fontId="1" type="noConversion"/>
  </si>
  <si>
    <t>Fdb</t>
    <phoneticPr fontId="1" type="noConversion"/>
  </si>
  <si>
    <t>USERID_HASH_KEY</t>
    <phoneticPr fontId="1" type="noConversion"/>
  </si>
  <si>
    <t>DsUserIdCvlanPortHashKey</t>
    <phoneticPr fontId="1" type="noConversion"/>
  </si>
  <si>
    <t>DsUserIdTunnelIpv4McNvgreMode0HashKey</t>
    <phoneticPr fontId="1" type="noConversion"/>
  </si>
  <si>
    <t>Flow Hash ACL</t>
    <phoneticPr fontId="1" type="noConversion"/>
  </si>
  <si>
    <t>IGS_ACL0</t>
  </si>
  <si>
    <t>DsFlowL2HashKey</t>
    <phoneticPr fontId="1" type="noConversion"/>
  </si>
  <si>
    <t>FLOW_HASH_KEY</t>
  </si>
  <si>
    <t>DsFibHost0Ipv4HashKey</t>
    <phoneticPr fontId="1" type="noConversion"/>
  </si>
  <si>
    <t>NAT</t>
    <phoneticPr fontId="1" type="noConversion"/>
  </si>
  <si>
    <t>FIB1_HASH_KEY</t>
    <phoneticPr fontId="1" type="noConversion"/>
  </si>
  <si>
    <t>LPM_LKP_KEY</t>
    <phoneticPr fontId="1" type="noConversion"/>
  </si>
  <si>
    <t>VSI</t>
    <phoneticPr fontId="1" type="noConversion"/>
  </si>
  <si>
    <t>VLAN</t>
    <phoneticPr fontId="1" type="noConversion"/>
  </si>
  <si>
    <t>OAM_LM</t>
  </si>
  <si>
    <t>L2</t>
    <phoneticPr fontId="1" type="noConversion"/>
  </si>
  <si>
    <t>Conflict Percent</t>
    <phoneticPr fontId="1" type="noConversion"/>
  </si>
  <si>
    <t>DsLpmLookupKey</t>
    <phoneticPr fontId="1" type="noConversion"/>
  </si>
  <si>
    <t>DsLpmTcamIpv6160Key0</t>
    <phoneticPr fontId="1" type="noConversion"/>
  </si>
  <si>
    <t>Tbl Name</t>
    <phoneticPr fontId="1" type="noConversion"/>
  </si>
  <si>
    <t>Use</t>
    <phoneticPr fontId="1" type="noConversion"/>
  </si>
  <si>
    <t>XCOAM_HASH_KEY</t>
    <phoneticPr fontId="1" type="noConversion"/>
  </si>
  <si>
    <t>FIB0_HASH_KEY</t>
    <phoneticPr fontId="1" type="noConversion"/>
  </si>
  <si>
    <t>Total</t>
    <phoneticPr fontId="1" type="noConversion"/>
  </si>
  <si>
    <t>Size</t>
    <phoneticPr fontId="1" type="noConversion"/>
  </si>
  <si>
    <t>yes</t>
    <phoneticPr fontId="1" type="noConversion"/>
  </si>
  <si>
    <t>eDRam ID</t>
    <phoneticPr fontId="1" type="noConversion"/>
  </si>
  <si>
    <t>no</t>
    <phoneticPr fontId="1" type="noConversion"/>
  </si>
  <si>
    <t>USERID_AD</t>
    <phoneticPr fontId="1" type="noConversion"/>
  </si>
  <si>
    <t>DSMAC_AD</t>
    <phoneticPr fontId="1" type="noConversion"/>
  </si>
  <si>
    <t>DSMAC_AD</t>
    <phoneticPr fontId="1" type="noConversion"/>
  </si>
  <si>
    <t>FLOW_AD</t>
    <phoneticPr fontId="1" type="noConversion"/>
  </si>
  <si>
    <t>FLOW_AD</t>
    <phoneticPr fontId="1" type="noConversion"/>
  </si>
  <si>
    <t>DSIP_AD</t>
    <phoneticPr fontId="1" type="noConversion"/>
  </si>
  <si>
    <t>DSIP_AD</t>
    <phoneticPr fontId="1" type="noConversion"/>
  </si>
  <si>
    <t>Overlay</t>
    <phoneticPr fontId="1" type="noConversion"/>
  </si>
  <si>
    <t>表格1：各特性使用Nexthop资源汇总</t>
    <phoneticPr fontId="2" type="noConversion"/>
  </si>
  <si>
    <t>特性</t>
    <phoneticPr fontId="2" type="noConversion"/>
  </si>
  <si>
    <t>数目</t>
    <phoneticPr fontId="2" type="noConversion"/>
  </si>
  <si>
    <t>用户填
写C列</t>
    <phoneticPr fontId="2" type="noConversion"/>
  </si>
  <si>
    <t>DSFWD</t>
    <phoneticPr fontId="2" type="noConversion"/>
  </si>
  <si>
    <t>MET</t>
    <phoneticPr fontId="2" type="noConversion"/>
  </si>
  <si>
    <t>Inner 3W</t>
    <phoneticPr fontId="2" type="noConversion"/>
  </si>
  <si>
    <t>Outer1 3W</t>
    <phoneticPr fontId="2" type="noConversion"/>
  </si>
  <si>
    <t>备注</t>
    <phoneticPr fontId="2" type="noConversion"/>
  </si>
  <si>
    <t>GLB NH 4W</t>
    <phoneticPr fontId="2" type="noConversion"/>
  </si>
  <si>
    <t>LCA NH 4W</t>
    <phoneticPr fontId="2" type="noConversion"/>
  </si>
  <si>
    <t>LCA MET 3W</t>
    <phoneticPr fontId="2" type="noConversion"/>
  </si>
  <si>
    <t>Outer2 3W</t>
    <phoneticPr fontId="2" type="noConversion"/>
  </si>
  <si>
    <t>Outer3 3w</t>
    <phoneticPr fontId="2" type="noConversion"/>
  </si>
  <si>
    <t xml:space="preserve">VLAN数目 </t>
    <phoneticPr fontId="2" type="noConversion"/>
  </si>
  <si>
    <t>二层组播组的数目</t>
    <phoneticPr fontId="2" type="noConversion"/>
  </si>
  <si>
    <t>二层组播组的包含Nexthop的成员总数（APS组播需要填写）</t>
    <phoneticPr fontId="2" type="noConversion"/>
  </si>
  <si>
    <t>路由Arp 数目 （包含LPM路由下一跳）</t>
    <phoneticPr fontId="2" type="noConversion"/>
  </si>
  <si>
    <t>路由Arp 数目中包含LPM路由下一跳的的数目(给LPM路由使用，由于汇聚，故Nexthop少)</t>
    <phoneticPr fontId="2" type="noConversion"/>
  </si>
  <si>
    <t>ECMP组的数目</t>
    <phoneticPr fontId="2" type="noConversion"/>
  </si>
  <si>
    <t>三层组播组的数目</t>
    <phoneticPr fontId="2" type="noConversion"/>
  </si>
  <si>
    <t>平均一个三层组播组中成员数目（至少2个）</t>
    <phoneticPr fontId="2" type="noConversion"/>
  </si>
  <si>
    <t>三层层组播使用L3if的数目(不应该超过整机使用L3if数目，最大1024）</t>
    <phoneticPr fontId="2" type="noConversion"/>
  </si>
  <si>
    <t>VSI</t>
    <phoneticPr fontId="2" type="noConversion"/>
  </si>
  <si>
    <t xml:space="preserve">LSP Tunnel </t>
    <phoneticPr fontId="2" type="noConversion"/>
  </si>
  <si>
    <t>LSP Tunnel 中带SPME的数目</t>
    <phoneticPr fontId="2" type="noConversion"/>
  </si>
  <si>
    <t>PW for L3VPN/ LSP Swap</t>
    <phoneticPr fontId="2" type="noConversion"/>
  </si>
  <si>
    <t>PW for VPLS</t>
    <phoneticPr fontId="2" type="noConversion"/>
  </si>
  <si>
    <t>PW for VPWS</t>
    <phoneticPr fontId="2" type="noConversion"/>
  </si>
  <si>
    <t>VPLS AC</t>
    <phoneticPr fontId="2" type="noConversion"/>
  </si>
  <si>
    <t>VPWS AC</t>
    <phoneticPr fontId="2" type="noConversion"/>
  </si>
  <si>
    <t>在二层网络中支持APS 的流的数目（非物理隔离应用）</t>
    <phoneticPr fontId="2" type="noConversion"/>
  </si>
  <si>
    <t>在二层网络中支持APS 的流的数目（物理隔离应用）</t>
    <phoneticPr fontId="2" type="noConversion"/>
  </si>
  <si>
    <t>1+1 APS 条目数</t>
    <phoneticPr fontId="2" type="noConversion"/>
  </si>
  <si>
    <t>环网保护（RAPS）组的数目</t>
    <phoneticPr fontId="2" type="noConversion"/>
  </si>
  <si>
    <t>平均一个环网保护（RAPS）组中环的数目</t>
    <phoneticPr fontId="2" type="noConversion"/>
  </si>
  <si>
    <t>ACL或SCL使用组播的数目 （用于ACL redirect或SCL中）</t>
    <phoneticPr fontId="2" type="noConversion"/>
  </si>
  <si>
    <t>ACL或SCL使用组播的成员数目 （用于ACL redirect或SCL中）</t>
    <phoneticPr fontId="2" type="noConversion"/>
  </si>
  <si>
    <t>IPV6Inv4 隧道数目（加封装时通过重路由的转发模式）</t>
    <phoneticPr fontId="2" type="noConversion"/>
  </si>
  <si>
    <t>IPV6Inv4 隧道数目（加封装时直接进行报文转发模式）</t>
    <phoneticPr fontId="2" type="noConversion"/>
  </si>
  <si>
    <t>IPV4Inv6 隧道数目</t>
    <phoneticPr fontId="2" type="noConversion"/>
  </si>
  <si>
    <t>IVI6To4/NAT 隧道数目</t>
    <phoneticPr fontId="2" type="noConversion"/>
  </si>
  <si>
    <t>IVI4To6 隧道数目</t>
    <phoneticPr fontId="2" type="noConversion"/>
  </si>
  <si>
    <t>Vxlan/NvGre V4</t>
    <phoneticPr fontId="2" type="noConversion"/>
  </si>
  <si>
    <t>Vxlan/NvGre V4 Cross VNI的数目</t>
    <phoneticPr fontId="2" type="noConversion"/>
  </si>
  <si>
    <t>Vxlan/NvGre V6</t>
    <phoneticPr fontId="2" type="noConversion"/>
  </si>
  <si>
    <t>Vxlan/NvGre V6 Cross VNI的数目</t>
    <phoneticPr fontId="2" type="noConversion"/>
  </si>
  <si>
    <t>Flex L2</t>
    <phoneticPr fontId="2" type="noConversion"/>
  </si>
  <si>
    <t xml:space="preserve">Flex L3 </t>
    <phoneticPr fontId="2" type="noConversion"/>
  </si>
  <si>
    <t>Flex L3 V6的数目</t>
    <phoneticPr fontId="2" type="noConversion"/>
  </si>
  <si>
    <t>Flex L2+L3</t>
    <phoneticPr fontId="2" type="noConversion"/>
  </si>
  <si>
    <t>Flex L2+L3V6的数目</t>
    <phoneticPr fontId="2" type="noConversion"/>
  </si>
  <si>
    <t>远程Mirror 透传二层网络 (预留，无须填写)</t>
    <phoneticPr fontId="2" type="noConversion"/>
  </si>
  <si>
    <t>其他（BPDU tunnel）(预留，无须填写)</t>
    <phoneticPr fontId="2" type="noConversion"/>
  </si>
  <si>
    <t>Iloop Nexthop的数目(预留，无须填写）</t>
    <phoneticPr fontId="2" type="noConversion"/>
  </si>
  <si>
    <t>预留给普通的两层Bridge的Nexthop(预留，不用更改配置)</t>
    <phoneticPr fontId="2" type="noConversion"/>
  </si>
  <si>
    <t>一个BrgUc的nexthop 包含Bridge 和Bypass 两个Nexthop</t>
    <phoneticPr fontId="2" type="noConversion"/>
  </si>
  <si>
    <t>Global DsNexthop (汇总行，无须填写)</t>
    <phoneticPr fontId="2" type="noConversion"/>
  </si>
  <si>
    <t>Global DsMet(汇总行，无须填写)</t>
    <phoneticPr fontId="2" type="noConversion"/>
  </si>
  <si>
    <t>Total</t>
    <phoneticPr fontId="2" type="noConversion"/>
  </si>
  <si>
    <t>附属表格1：资源汇总</t>
    <phoneticPr fontId="2" type="noConversion"/>
  </si>
  <si>
    <t>feature</t>
    <phoneticPr fontId="2" type="noConversion"/>
  </si>
  <si>
    <t>Size(K)</t>
    <phoneticPr fontId="2" type="noConversion"/>
  </si>
  <si>
    <t>DsFwd</t>
    <phoneticPr fontId="2" type="noConversion"/>
  </si>
  <si>
    <t>DsMet</t>
    <phoneticPr fontId="2" type="noConversion"/>
  </si>
  <si>
    <t>DsNexthop</t>
    <phoneticPr fontId="2" type="noConversion"/>
  </si>
  <si>
    <t>DsEdit</t>
    <phoneticPr fontId="2" type="noConversion"/>
  </si>
  <si>
    <t>Left</t>
    <phoneticPr fontId="2" type="noConversion"/>
  </si>
  <si>
    <t>DSL2EDIT/DsL3Edit</t>
    <phoneticPr fontId="2" type="noConversion"/>
  </si>
  <si>
    <t>Nexthop Type</t>
  </si>
  <si>
    <t>DsFwd</t>
  </si>
  <si>
    <t>DsMet</t>
  </si>
  <si>
    <t>DsNexthop</t>
  </si>
  <si>
    <t>Inner edit</t>
  </si>
  <si>
    <t>Outer edit</t>
  </si>
  <si>
    <t>l2/l3</t>
  </si>
  <si>
    <t>spme</t>
  </si>
  <si>
    <t>l2</t>
  </si>
  <si>
    <t>bridge</t>
  </si>
  <si>
    <t>NA</t>
  </si>
  <si>
    <t>route(Host)</t>
  </si>
  <si>
    <t>3w</t>
  </si>
  <si>
    <t>route</t>
  </si>
  <si>
    <t>3w(arp)</t>
  </si>
  <si>
    <t>mpls tunnel</t>
  </si>
  <si>
    <t>mpls 1lsp nexthop</t>
  </si>
  <si>
    <t>3w(l3)</t>
  </si>
  <si>
    <t>mpls 2lsp nexthop</t>
  </si>
  <si>
    <t>mpls pw nexthop</t>
  </si>
  <si>
    <t>6w</t>
  </si>
  <si>
    <t>ip tunnel v4</t>
  </si>
  <si>
    <t>6w(l3)</t>
  </si>
  <si>
    <t>ip tunnel v6</t>
  </si>
  <si>
    <t>12w(l3)</t>
  </si>
  <si>
    <t>Vxlan/NvGre v4</t>
  </si>
  <si>
    <t>3w/6w(跨vni)</t>
  </si>
  <si>
    <t>3w(l2)</t>
  </si>
  <si>
    <t>Vxlan/NvGre v6</t>
  </si>
  <si>
    <t>nat</t>
  </si>
  <si>
    <t>ivi 4 to 6</t>
  </si>
  <si>
    <t>6w(13)</t>
  </si>
  <si>
    <t>ivi 6 to 4</t>
  </si>
  <si>
    <t>iloop</t>
  </si>
  <si>
    <t>cpu reseaon</t>
  </si>
  <si>
    <t>l2 edit</t>
  </si>
  <si>
    <t>6w(l2)</t>
  </si>
  <si>
    <t>l3 edit</t>
  </si>
  <si>
    <t xml:space="preserve">6w/12w(IPv6)(L3) </t>
  </si>
  <si>
    <t>l2+l3 edit</t>
  </si>
  <si>
    <t>6w/12w(IPv6)(L3)</t>
  </si>
  <si>
    <t>mcast</t>
  </si>
  <si>
    <t>l2 vlan mcast</t>
  </si>
  <si>
    <t>l3 mcast</t>
  </si>
  <si>
    <t>vpls mcast</t>
  </si>
  <si>
    <t>ecmp</t>
  </si>
  <si>
    <t>OAM_MEP</t>
    <phoneticPr fontId="1" type="noConversion"/>
  </si>
  <si>
    <t>OAM_MA</t>
    <phoneticPr fontId="1" type="noConversion"/>
  </si>
  <si>
    <t>OAM_MA_NAME</t>
    <phoneticPr fontId="1" type="noConversion"/>
  </si>
  <si>
    <t>User Spec(K)</t>
    <phoneticPr fontId="1" type="noConversion"/>
  </si>
  <si>
    <t>EKY</t>
    <phoneticPr fontId="1" type="noConversion"/>
  </si>
  <si>
    <t>AD</t>
    <phoneticPr fontId="1" type="noConversion"/>
  </si>
  <si>
    <t>TCAM</t>
    <phoneticPr fontId="1" type="noConversion"/>
  </si>
  <si>
    <t>DsFibHost0Ipv6McastHashKey</t>
    <phoneticPr fontId="1" type="noConversion"/>
  </si>
  <si>
    <t>配置总汇</t>
    <phoneticPr fontId="1" type="noConversion"/>
  </si>
  <si>
    <t>user</t>
    <phoneticPr fontId="1" type="noConversion"/>
  </si>
  <si>
    <t>conflict</t>
    <phoneticPr fontId="1" type="noConversion"/>
  </si>
  <si>
    <t>eDRam</t>
    <phoneticPr fontId="1" type="noConversion"/>
  </si>
  <si>
    <t>Tcam</t>
    <phoneticPr fontId="1" type="noConversion"/>
  </si>
  <si>
    <t>资源总汇</t>
    <phoneticPr fontId="1" type="noConversion"/>
  </si>
  <si>
    <t>Tcam ID</t>
    <phoneticPr fontId="1" type="noConversion"/>
  </si>
  <si>
    <t>Tbl Name</t>
    <phoneticPr fontId="1" type="noConversion"/>
  </si>
  <si>
    <t>考虑Nexthop做Vlan编辑，故使用DSNexthop8w</t>
  </si>
  <si>
    <t>采用ei-loop的方式，进需要考虑L3Edit,Iloop 回来之后走的是正常的Ipv4 的nexthop</t>
  </si>
  <si>
    <t>不做ei-loop,直接封装3层头和2层头</t>
  </si>
  <si>
    <t>no</t>
    <phoneticPr fontId="1" type="noConversion"/>
  </si>
  <si>
    <t>remain</t>
    <phoneticPr fontId="1" type="noConversion"/>
  </si>
  <si>
    <t>DsEgressXcOamSvlanPortHashKey</t>
    <phoneticPr fontId="1" type="noConversion"/>
  </si>
  <si>
    <t>MAC</t>
  </si>
  <si>
    <t>IP_HOST</t>
  </si>
  <si>
    <t>IP_LPM</t>
  </si>
  <si>
    <t>Scl_Flow</t>
  </si>
  <si>
    <t>Acl_Flow</t>
  </si>
  <si>
    <t>Oam</t>
  </si>
  <si>
    <t>Scl</t>
  </si>
  <si>
    <t>Tunnel_Decp</t>
  </si>
  <si>
    <t>Mpls</t>
  </si>
  <si>
    <t>L2Mcast</t>
  </si>
  <si>
    <t>Fid</t>
  </si>
  <si>
    <t>IPMC</t>
    <phoneticPr fontId="1" type="noConversion"/>
  </si>
  <si>
    <t>FLOW_HASH_KEY</t>
    <phoneticPr fontId="1" type="noConversion"/>
  </si>
  <si>
    <t>0(Memory000)</t>
    <phoneticPr fontId="1" type="noConversion"/>
  </si>
  <si>
    <t>1(Memory001)</t>
    <phoneticPr fontId="1" type="noConversion"/>
  </si>
  <si>
    <t>2(Memory002)</t>
    <phoneticPr fontId="1" type="noConversion"/>
  </si>
  <si>
    <t>3(Memory003)</t>
    <phoneticPr fontId="1" type="noConversion"/>
  </si>
  <si>
    <t>4(Memory004)</t>
    <phoneticPr fontId="1" type="noConversion"/>
  </si>
  <si>
    <t>5(Memory005)</t>
    <phoneticPr fontId="1" type="noConversion"/>
  </si>
  <si>
    <t>0(UserId0)</t>
    <phoneticPr fontId="1" type="noConversion"/>
  </si>
  <si>
    <t>1(UserId1)</t>
    <phoneticPr fontId="1" type="noConversion"/>
  </si>
  <si>
    <t>2(IPE ACL0)</t>
    <phoneticPr fontId="1" type="noConversion"/>
  </si>
  <si>
    <t>3(IPE ACL1)</t>
    <phoneticPr fontId="1" type="noConversion"/>
  </si>
  <si>
    <t>4(IPE ACL2)</t>
    <phoneticPr fontId="1" type="noConversion"/>
  </si>
  <si>
    <t>5(IPE ACL3)</t>
    <phoneticPr fontId="1" type="noConversion"/>
  </si>
  <si>
    <t>6(IPE ACL4)</t>
    <phoneticPr fontId="1" type="noConversion"/>
  </si>
  <si>
    <t>7(IPE ACL5)</t>
    <phoneticPr fontId="1" type="noConversion"/>
  </si>
  <si>
    <t>8(IPE ACL6)</t>
    <phoneticPr fontId="1" type="noConversion"/>
  </si>
  <si>
    <t>9(IPE ACL7)</t>
    <phoneticPr fontId="1" type="noConversion"/>
  </si>
  <si>
    <t>10(EPE ACL0)</t>
    <phoneticPr fontId="1" type="noConversion"/>
  </si>
  <si>
    <t>11(EPE ACL1)</t>
    <phoneticPr fontId="1" type="noConversion"/>
  </si>
  <si>
    <t>DsAclQosForwardIpv6Key640Ing0_t;</t>
  </si>
  <si>
    <t>DsAclQosForwardL3Key640Ing0_t;</t>
  </si>
  <si>
    <t>DsAclQosIpfixEnableKey80Ing0_t;</t>
  </si>
  <si>
    <t>DsAclQosIpv6Key320Ing0_t;</t>
  </si>
  <si>
    <t>DsAclQosIpv6Key640Ing0_t;</t>
  </si>
  <si>
    <t>DsAclQosL3Key160Ing0_t;</t>
  </si>
  <si>
    <t>DsAclQosL3Key320Ing0_t;</t>
  </si>
  <si>
    <t>DsAclQosMacIpv6Key640Ing0_t;</t>
  </si>
  <si>
    <t>DsAclQosMacKey160Ing0_t;</t>
  </si>
  <si>
    <t>DsAclQosMacL3Key320Ing0_t;</t>
  </si>
  <si>
    <t>DsAclQosMacL3Key640Ing0_t;</t>
  </si>
  <si>
    <t>DsAclQosSgtKey80Ing0_t;</t>
  </si>
  <si>
    <t>ipfix</t>
    <phoneticPr fontId="1" type="noConversion"/>
  </si>
  <si>
    <t>sgt-based</t>
    <phoneticPr fontId="1" type="noConversion"/>
  </si>
  <si>
    <t>DsAclQosL3Key160Ing0_t;</t>
    <phoneticPr fontId="1" type="noConversion"/>
  </si>
  <si>
    <t>DsAclQosL3Key320Ing0_t;</t>
    <phoneticPr fontId="1" type="noConversion"/>
  </si>
  <si>
    <t>DsAclQosForwardL3Key640Ing0_t;</t>
    <phoneticPr fontId="1" type="noConversion"/>
  </si>
  <si>
    <t>ipfix-based</t>
    <phoneticPr fontId="1" type="noConversion"/>
  </si>
  <si>
    <t>DsAclQosIpfixEnableKey80Ing0_t;</t>
    <phoneticPr fontId="1" type="noConversion"/>
  </si>
  <si>
    <t>这页没处理</t>
    <phoneticPr fontId="1" type="noConversion"/>
  </si>
  <si>
    <t>DsUserIdCapwapMacDaForwardHashKey_t,</t>
  </si>
  <si>
    <t>DsUserIdCapwapStaStatusHashKey_t,</t>
  </si>
  <si>
    <t>DsUserIdCapwapVlanForwardHashKey_t,</t>
  </si>
  <si>
    <t>DsUserIdTunnelIpv4CapwapHashKey_t,</t>
  </si>
  <si>
    <t>DsUserIdTunnelIpv6CapwapHashKey_t,</t>
  </si>
  <si>
    <t>DsUserIdTunnelIpv4UdpHashKey_t</t>
    <phoneticPr fontId="1" type="noConversion"/>
  </si>
  <si>
    <t>capwap</t>
    <phoneticPr fontId="1" type="noConversion"/>
  </si>
  <si>
    <t>DsUserIdCapwapMacDaForwardHashKey_t,</t>
    <phoneticPr fontId="1" type="noConversion"/>
  </si>
  <si>
    <t>DsUserIdCapwapStaStatusHashKey_t,</t>
    <phoneticPr fontId="1" type="noConversion"/>
  </si>
  <si>
    <t>DsUserIdCapwapVlanForwardHashKey_t,</t>
    <phoneticPr fontId="1" type="noConversion"/>
  </si>
  <si>
    <t>DsUserIdTunnelIpv4CapwapHashKey_t,</t>
    <phoneticPr fontId="1" type="noConversion"/>
  </si>
  <si>
    <t>DsUserIdTunnelIpv6CapwapHashKey_t,</t>
    <phoneticPr fontId="1" type="noConversion"/>
  </si>
  <si>
    <t>DsUserIdTunnelIpv6UcNvgreMode1HashKey</t>
    <phoneticPr fontId="1" type="noConversion"/>
  </si>
  <si>
    <t>DsUserIdCvlanCosPortHashKey_t,</t>
  </si>
  <si>
    <t>DsUserIdCvlanPortHashKey_t,</t>
  </si>
  <si>
    <t>DsUserIdDoubleVlanPortHashKey_t,</t>
  </si>
  <si>
    <t>DsUserIdIpv4PortHashKey_t,</t>
  </si>
  <si>
    <t>DsUserIdIpv4SaHashKey_t,</t>
  </si>
  <si>
    <t>DsUserIdIpv6PortHashKey_t,</t>
  </si>
  <si>
    <t>DsUserIdIpv6SaHashKey_t,</t>
  </si>
  <si>
    <t>DsUserIdMacHashKey_t,</t>
  </si>
  <si>
    <t>DsUserIdMacPortHashKey_t,</t>
  </si>
  <si>
    <t>DsUserIdPortHashKey_t,</t>
  </si>
  <si>
    <t>DsFibHost1Ipv4NatDaPortHashKey_t,</t>
  </si>
  <si>
    <t>DsFibHost1Ipv4NatSaPortHashKey_t,</t>
  </si>
  <si>
    <t>DsFibHost1Ipv6McastHashKey_t,</t>
  </si>
  <si>
    <t>DsFibHost1Ipv6NatDaPortHashKey_t,</t>
  </si>
  <si>
    <t>DsFibHost1Ipv6NatSaPortHashKey_t,</t>
  </si>
  <si>
    <t>DsFibHost1FcoeRpfHashKey_t,</t>
  </si>
  <si>
    <t>DsFibHost1TrillMcastVlanHashKey_t,</t>
  </si>
  <si>
    <t>DsFibHost1MacIpv6McastHashKey_t,</t>
  </si>
  <si>
    <t>DsFlowL2HashKey_t,</t>
  </si>
  <si>
    <t>DsFlowL2L3HashKey_t,</t>
  </si>
  <si>
    <t>DsFlowL3Ipv4HashKey_t,</t>
  </si>
  <si>
    <t>DsFlowL3Ipv6HashKey_t,</t>
  </si>
  <si>
    <t>DsFlowL3MplsHashKey_t,</t>
  </si>
  <si>
    <t>DsIpfixL2HashKey_t,</t>
  </si>
  <si>
    <t>DsIpfixL2L3HashKey_t,</t>
  </si>
  <si>
    <t>DsIpfixL3Ipv4HashKey_t,</t>
  </si>
  <si>
    <t>DsIpfixL3Ipv6HashKey_t,</t>
  </si>
  <si>
    <t>DsIpfixL3MplsHashKey_t,</t>
  </si>
  <si>
    <t>DsUserIdTunnelIpv4DaHashKey_t,</t>
  </si>
  <si>
    <t>DsUserIdTunnelIpv4GreKeyHashKey_t,</t>
  </si>
  <si>
    <t>DsUserIdTunnelIpv4HashKey_t,</t>
  </si>
  <si>
    <t>DsUserIdTunnelIpv4RpfHashKey_t,</t>
  </si>
  <si>
    <t>DsUserIdTunnelIpv4McNvgreMode0HashKey_t,</t>
  </si>
  <si>
    <t>DsUserIdTunnelIpv4NvgreMode1HashKey_t,</t>
  </si>
  <si>
    <t>DsUserIdTunnelIpv4McVxlanMode0HashKey_t,</t>
  </si>
  <si>
    <t>DsUserIdTunnelIpv4VxlanMode1HashKey_t,</t>
  </si>
  <si>
    <t>DsUserIdTunnelIpv4UcNvgreMode0HashKey_t,</t>
  </si>
  <si>
    <t>DsUserIdTunnelIpv4UcNvgreMode1HashKey_t,</t>
  </si>
  <si>
    <t>DsUserIdTunnelIpv4UcVxlanMode0HashKey_t,</t>
  </si>
  <si>
    <t>DsUserIdTunnelIpv4UcVxlanMode1HashKey_t,</t>
  </si>
  <si>
    <t>DsUserIdTunnelIpv6McNvgreMode0HashKey_t,</t>
  </si>
  <si>
    <t>DsUserIdTunnelIpv6McNvgreMode1HashKey_t,</t>
  </si>
  <si>
    <t>DsUserIdTunnelIpv6McVxlanMode0HashKey_t,</t>
  </si>
  <si>
    <t>DsUserIdTunnelIpv6McVxlanMode1HashKey_t,</t>
  </si>
  <si>
    <t>DsUserIdTunnelIpv6UcNvgreMode0HashKey_t,</t>
  </si>
  <si>
    <t>DsUserIdTunnelIpv6UcNvgreMode1HashKey_t,</t>
  </si>
  <si>
    <t>DsUserIdTunnelIpv6UcVxlanMode0HashKey_t,</t>
  </si>
  <si>
    <t>DsUserIdTunnelIpv6UcVxlanMode1HashKey_t,</t>
  </si>
  <si>
    <t>DsUserIdTunnelMplsHashKey_t,</t>
  </si>
  <si>
    <t>DsUserIdTunnelPbbHashKey_t,</t>
  </si>
  <si>
    <t>DsUserIdTunnelTrillMcAdjHashKey_t,</t>
  </si>
  <si>
    <t>DsUserIdTunnelTrillMcDecapHashKey_t,</t>
  </si>
  <si>
    <t>DsUserIdTunnelTrillMcRpfHashKey_t,</t>
  </si>
  <si>
    <t>DsUserIdTunnelTrillUcDecapHashKey_t,</t>
  </si>
  <si>
    <t>DsUserIdTunnelTrillUcRpfHashKey_t,</t>
  </si>
  <si>
    <t>DsEgressXcOamPortCrossHashKey_t,</t>
  </si>
  <si>
    <t>DsEgressXcOamPortHashKey_t,</t>
  </si>
  <si>
    <t>DsEgressXcOamPortVlanCrossHashKey_t,</t>
  </si>
  <si>
    <t>DsEgressXcOamCvlanCosPortHashKey_t,</t>
  </si>
  <si>
    <t>DsEgressXcOamCvlanPortHashKey_t,</t>
  </si>
  <si>
    <t>DsEgressXcOamDoubleVlanPortHashKey_t</t>
  </si>
  <si>
    <t>DsEgressXcOamSvlanCosPortHashKey_t,</t>
  </si>
  <si>
    <t>DsEgressXcOamSvlanPortHashKey_t,</t>
  </si>
  <si>
    <t>DsEgressXcOamSvlanPortMacHashKey_t,</t>
  </si>
  <si>
    <t>DsEgressXcOamTunnelPbbHashKey_t,</t>
  </si>
  <si>
    <t>DsEgressXcOamBfdHashKey_t,</t>
  </si>
  <si>
    <t>DsEgressXcOamEthHashKey_t,</t>
  </si>
  <si>
    <t>DsEgressXcOamMplsLabelHashKey_t,</t>
  </si>
  <si>
    <t>DsEgressXcOamMplsSectionHashKey_t,</t>
  </si>
  <si>
    <t>DsEgressXcOamRmepHashKey_t,</t>
  </si>
  <si>
    <t>DsLpmLookupKey_t</t>
  </si>
  <si>
    <t>ipuchost /ipmc</t>
    <phoneticPr fontId="1" type="noConversion"/>
  </si>
  <si>
    <t>ipuchost</t>
    <phoneticPr fontId="1" type="noConversion"/>
  </si>
  <si>
    <t>ipmc</t>
    <phoneticPr fontId="1" type="noConversion"/>
  </si>
  <si>
    <t>l2 ipmc</t>
    <phoneticPr fontId="1" type="noConversion"/>
  </si>
  <si>
    <t>trill</t>
    <phoneticPr fontId="1" type="noConversion"/>
  </si>
  <si>
    <t>fcoe</t>
    <phoneticPr fontId="1" type="noConversion"/>
  </si>
  <si>
    <t>mac</t>
    <phoneticPr fontId="1" type="noConversion"/>
  </si>
  <si>
    <t>nat</t>
    <phoneticPr fontId="1" type="noConversion"/>
  </si>
  <si>
    <t>DsFibHost1MacIpv4McastHashKey_t,</t>
    <phoneticPr fontId="1" type="noConversion"/>
  </si>
  <si>
    <t>flow hash</t>
    <phoneticPr fontId="1" type="noConversion"/>
  </si>
  <si>
    <t>SCL</t>
    <phoneticPr fontId="1" type="noConversion"/>
  </si>
  <si>
    <t>tunnel</t>
    <phoneticPr fontId="1" type="noConversion"/>
  </si>
  <si>
    <t>DsUserIdTunnelIpv4UdpHashKey_t,</t>
    <phoneticPr fontId="1" type="noConversion"/>
  </si>
  <si>
    <t>OAM</t>
    <phoneticPr fontId="1" type="noConversion"/>
  </si>
  <si>
    <t>Egress SCL</t>
    <phoneticPr fontId="1" type="noConversion"/>
  </si>
  <si>
    <t>Egress</t>
    <phoneticPr fontId="1" type="noConversion"/>
  </si>
  <si>
    <t>UDP报文识别</t>
    <phoneticPr fontId="1" type="noConversion"/>
  </si>
  <si>
    <t>DsFibHost0Ipv4HashKey_t,</t>
    <phoneticPr fontId="1" type="noConversion"/>
  </si>
  <si>
    <t>DsFibHost0Ipv6UcastHashKey_t,</t>
    <phoneticPr fontId="1" type="noConversion"/>
  </si>
  <si>
    <t>DsFibHost0Ipv6McastHashKey_t,</t>
    <phoneticPr fontId="1" type="noConversion"/>
  </si>
  <si>
    <t>DsFibHost0MacIpv6McastHashKey_t,</t>
    <phoneticPr fontId="1" type="noConversion"/>
  </si>
  <si>
    <t>DsFibHost0MacHashKey_t,</t>
    <phoneticPr fontId="1" type="noConversion"/>
  </si>
  <si>
    <t>DsFibHost0TrillHashKey_t,</t>
    <phoneticPr fontId="1" type="noConversion"/>
  </si>
  <si>
    <t>DsFibHost0FcoeHashKey_t,</t>
    <phoneticPr fontId="1" type="noConversion"/>
  </si>
  <si>
    <t>DsUserIdSvlanCosPortHashKey_t,</t>
    <phoneticPr fontId="1" type="noConversion"/>
  </si>
  <si>
    <t>DsUserIdSvlanHashKey_t,</t>
    <phoneticPr fontId="1" type="noConversion"/>
  </si>
  <si>
    <t>DsUserIdSvlanMacSaHashKey_t,</t>
    <phoneticPr fontId="1" type="noConversion"/>
  </si>
  <si>
    <t>DsUserIdSvlanPortHashKey_t,</t>
    <phoneticPr fontId="1" type="noConversion"/>
  </si>
  <si>
    <t>DsUserIdSclFlowL2HashKey_t,</t>
    <phoneticPr fontId="1" type="noConversion"/>
  </si>
  <si>
    <t>fibhash0</t>
    <phoneticPr fontId="1" type="noConversion"/>
  </si>
  <si>
    <t>fibhash1</t>
    <phoneticPr fontId="1" type="noConversion"/>
  </si>
  <si>
    <t>ACL</t>
    <phoneticPr fontId="1" type="noConversion"/>
  </si>
  <si>
    <t>DsAclQosIpfixEnableKey80Egr0_t;</t>
  </si>
  <si>
    <t>DsAclQosIpv6Key320Egr0_t;</t>
  </si>
  <si>
    <t>DsAclQosIpv6Key640Egr0_t;</t>
  </si>
  <si>
    <t>DsAclQosL3Key160Egr0_t;</t>
  </si>
  <si>
    <t>DsAclQosL3Key320Egr0_t;</t>
  </si>
  <si>
    <t>DsAclQosMacIpv6Key640Egr0_t;</t>
  </si>
  <si>
    <t>DsAclQosMacKey160Egr0_t;</t>
  </si>
  <si>
    <t>DsAclQosMacL3Key320Egr0_t;</t>
  </si>
  <si>
    <t>DsAclQosMacL3Key640Egr0_t;</t>
  </si>
  <si>
    <t>DsUserId0TcamKey80_t;</t>
  </si>
  <si>
    <t>DsScl0MacKey160_t;</t>
  </si>
  <si>
    <t>DsScl0L3Key160_t;</t>
  </si>
  <si>
    <t>DsScl0Ipv6Key320_t;</t>
  </si>
  <si>
    <t>DsScl0MacL3Key320_t;</t>
  </si>
  <si>
    <t>DsScl0MacIpv6Key640_t;</t>
  </si>
  <si>
    <t>DsUserId0TcamKey160_t;</t>
  </si>
  <si>
    <t>DsUserId0TcamKey320_t;</t>
  </si>
  <si>
    <t>SCL TCAM</t>
    <phoneticPr fontId="1" type="noConversion"/>
  </si>
  <si>
    <t xml:space="preserve">DsLpmTcamIpv4DoubleKey_t;    </t>
  </si>
  <si>
    <t xml:space="preserve">DsLpmTcamIpv6QuadKey_t;      </t>
  </si>
  <si>
    <t xml:space="preserve">DsLpmTcamIpv4NatDoubleKey_t; </t>
  </si>
  <si>
    <t xml:space="preserve">DsLpmTcamIpv6DoubleKey1_t;   </t>
  </si>
  <si>
    <t>IP LPM</t>
    <phoneticPr fontId="1" type="noConversion"/>
  </si>
  <si>
    <t>v4 PBR</t>
    <phoneticPr fontId="1" type="noConversion"/>
  </si>
  <si>
    <t>v6 NAT</t>
    <phoneticPr fontId="1" type="noConversion"/>
  </si>
  <si>
    <t>v4 NAT</t>
    <phoneticPr fontId="1" type="noConversion"/>
  </si>
  <si>
    <t>v6 PBR/NAT v6 pbr</t>
    <phoneticPr fontId="1" type="noConversion"/>
  </si>
  <si>
    <t>Pipeline</t>
    <phoneticPr fontId="1" type="noConversion"/>
  </si>
  <si>
    <t>Ingress ACL 0-7</t>
    <phoneticPr fontId="1" type="noConversion"/>
  </si>
  <si>
    <t>Egress ACL 0-2</t>
    <phoneticPr fontId="1" type="noConversion"/>
  </si>
  <si>
    <t>SCL 0-1</t>
    <phoneticPr fontId="1" type="noConversion"/>
  </si>
  <si>
    <t xml:space="preserve">DsLpmTcamIpv4HalfKey_t,    </t>
  </si>
  <si>
    <t xml:space="preserve">DsLpmTcamIpv6DoubleKey0_t, </t>
  </si>
  <si>
    <t xml:space="preserve">DsLpmTcamIpv6SingleKey_t, </t>
  </si>
  <si>
    <t xml:space="preserve">DsLpmTcamIpv4SaHalfKey_t,    </t>
  </si>
  <si>
    <t xml:space="preserve">DsLpmTcamIpv6SaDoubleKey0_t, </t>
  </si>
  <si>
    <t xml:space="preserve">DsLpmTcamIpv6SaSingleKey_t, </t>
  </si>
  <si>
    <t xml:space="preserve">DsLpmTcamIpv4DaPubHalfKey_t,   </t>
  </si>
  <si>
    <t>DsLpmTcamIpv6DaPubDoubleKey0_t,</t>
  </si>
  <si>
    <t xml:space="preserve">DsLpmTcamIpv6DaPubSingleKey_t, </t>
  </si>
  <si>
    <t xml:space="preserve">DsLpmTcamIpv4SaPubHalfKey_t,   </t>
  </si>
  <si>
    <t>DsLpmTcamIpv6SaPubDoubleKey0_t,</t>
  </si>
  <si>
    <t xml:space="preserve">DsLpmTcamIpv6SaPubSingleKey_t, </t>
  </si>
  <si>
    <t>sa 查找KEY</t>
    <phoneticPr fontId="1" type="noConversion"/>
  </si>
  <si>
    <t>da 查找KEY</t>
    <phoneticPr fontId="1" type="noConversion"/>
  </si>
  <si>
    <t>sa pub 查找key</t>
    <phoneticPr fontId="1" type="noConversion"/>
  </si>
  <si>
    <t>da pub 查找KEY</t>
    <phoneticPr fontId="1" type="noConversion"/>
  </si>
  <si>
    <t>open flow</t>
    <phoneticPr fontId="1" type="noConversion"/>
  </si>
  <si>
    <t>DsFibHost1Ipv4McastHashKey_t,</t>
    <phoneticPr fontId="1" type="noConversion"/>
  </si>
  <si>
    <t>3w</t>
    <phoneticPr fontId="1" type="noConversion"/>
  </si>
  <si>
    <t>3w+3w(sub+phy if)
+6w(vlanif)</t>
    <phoneticPr fontId="1" type="noConversion"/>
  </si>
  <si>
    <t>3w+3w*member</t>
    <phoneticPr fontId="1" type="noConversion"/>
  </si>
  <si>
    <t>Vlan Tranlation （Egress)</t>
    <phoneticPr fontId="1" type="noConversion"/>
  </si>
  <si>
    <t xml:space="preserve">DRV_FTM_SRAM_TBL_FIB0_HASH_KEY  </t>
    <phoneticPr fontId="1" type="noConversion"/>
  </si>
  <si>
    <t xml:space="preserve">DRV_FTM_SRAM_TBL_FIB1_HASH_KEY  </t>
    <phoneticPr fontId="1" type="noConversion"/>
  </si>
  <si>
    <t xml:space="preserve">DRV_FTM_SRAM_TBL_FLOW_HASH_KEY  </t>
    <phoneticPr fontId="1" type="noConversion"/>
  </si>
  <si>
    <t xml:space="preserve">DRV_FTM_SRAM_TBL_IPFIX_HASH_KEY </t>
    <phoneticPr fontId="1" type="noConversion"/>
  </si>
  <si>
    <t>DRV_FTM_SRAM_TBL_USERID_HASH_KEY</t>
    <phoneticPr fontId="1" type="noConversion"/>
  </si>
  <si>
    <t xml:space="preserve">DRV_FTM_SRAM_TBL_XCOAM_HASH_KEY </t>
    <phoneticPr fontId="1" type="noConversion"/>
  </si>
  <si>
    <t xml:space="preserve">DRV_FTM_SRAM_TBL_LPM_LKP_KEY    </t>
    <phoneticPr fontId="1" type="noConversion"/>
  </si>
  <si>
    <t xml:space="preserve">DRV_FTM_SRAM_TBL_DSMAC_AD       </t>
    <phoneticPr fontId="1" type="noConversion"/>
  </si>
  <si>
    <t xml:space="preserve">DRV_FTM_SRAM_TBL_DSIP_AD        </t>
    <phoneticPr fontId="1" type="noConversion"/>
  </si>
  <si>
    <t xml:space="preserve">DRV_FTM_SRAM_TBL_FLOW_AD        </t>
    <phoneticPr fontId="1" type="noConversion"/>
  </si>
  <si>
    <t xml:space="preserve">DRV_FTM_SRAM_TBL_IPFIX_AD       </t>
    <phoneticPr fontId="1" type="noConversion"/>
  </si>
  <si>
    <t xml:space="preserve">DRV_FTM_SRAM_TBL_USERID_AD      </t>
    <phoneticPr fontId="1" type="noConversion"/>
  </si>
  <si>
    <t xml:space="preserve">DRV_FTM_SRAM_TBL_NEXTHOP        </t>
    <phoneticPr fontId="1" type="noConversion"/>
  </si>
  <si>
    <t xml:space="preserve">DRV_FTM_SRAM_TBL_FWD            </t>
    <phoneticPr fontId="1" type="noConversion"/>
  </si>
  <si>
    <t xml:space="preserve">DRV_FTM_SRAM_TBL_MET            </t>
    <phoneticPr fontId="1" type="noConversion"/>
  </si>
  <si>
    <t xml:space="preserve">DRV_FTM_SRAM_TBL_EDIT           </t>
    <phoneticPr fontId="1" type="noConversion"/>
  </si>
  <si>
    <t xml:space="preserve">DRV_FTM_SRAM_TBL_OAM_APS        </t>
    <phoneticPr fontId="1" type="noConversion"/>
  </si>
  <si>
    <t xml:space="preserve">DRV_FTM_SRAM_TBL_OAM_LM         </t>
    <phoneticPr fontId="1" type="noConversion"/>
  </si>
  <si>
    <t xml:space="preserve">DRV_FTM_SRAM_TBL_OAM_MEP        </t>
    <phoneticPr fontId="1" type="noConversion"/>
  </si>
  <si>
    <t xml:space="preserve">DRV_FTM_SRAM_TBL_OAM_MA         </t>
    <phoneticPr fontId="1" type="noConversion"/>
  </si>
  <si>
    <t xml:space="preserve">DRV_FTM_SRAM_TBL_OAM_MA_NAME    </t>
    <phoneticPr fontId="1" type="noConversion"/>
  </si>
  <si>
    <t>couple_model</t>
    <phoneticPr fontId="1" type="noConversion"/>
  </si>
  <si>
    <t>GLB MET 3W</t>
    <phoneticPr fontId="2" type="noConversion"/>
  </si>
  <si>
    <t>SCL_HASH_KEY</t>
    <phoneticPr fontId="1" type="noConversion"/>
  </si>
  <si>
    <t>XCOAM_HASH_KEY</t>
    <phoneticPr fontId="1" type="noConversion"/>
  </si>
  <si>
    <t>OAM_MEP</t>
    <phoneticPr fontId="1" type="noConversion"/>
  </si>
  <si>
    <t>DYNAMIC</t>
    <phoneticPr fontId="1" type="noConversion"/>
  </si>
  <si>
    <t>NEXTHOP</t>
    <phoneticPr fontId="1" type="noConversion"/>
  </si>
  <si>
    <t>FWD</t>
    <phoneticPr fontId="1" type="noConversion"/>
  </si>
  <si>
    <t>MET</t>
    <phoneticPr fontId="1" type="noConversion"/>
  </si>
  <si>
    <t>SCL0</t>
    <phoneticPr fontId="1" type="noConversion"/>
  </si>
  <si>
    <t>SCL1</t>
    <phoneticPr fontId="1" type="noConversion"/>
  </si>
  <si>
    <t>ACL0_IPE</t>
    <phoneticPr fontId="1" type="noConversion"/>
  </si>
  <si>
    <t>ACL1_IPE</t>
    <phoneticPr fontId="1" type="noConversion"/>
  </si>
  <si>
    <t>ACL2_IPE</t>
    <phoneticPr fontId="1" type="noConversion"/>
  </si>
  <si>
    <t>ACL3_IPE</t>
    <phoneticPr fontId="1" type="noConversion"/>
  </si>
  <si>
    <t>ACL4_IPE</t>
    <phoneticPr fontId="1" type="noConversion"/>
  </si>
  <si>
    <t>ACL5_IPE</t>
    <phoneticPr fontId="1" type="noConversion"/>
  </si>
  <si>
    <t>ACL6_IPE</t>
    <phoneticPr fontId="1" type="noConversion"/>
  </si>
  <si>
    <t>ACL7_IPE</t>
    <phoneticPr fontId="1" type="noConversion"/>
  </si>
  <si>
    <t>ACL0_EPE</t>
    <phoneticPr fontId="1" type="noConversion"/>
  </si>
  <si>
    <t>ACL1_EPE</t>
    <phoneticPr fontId="1" type="noConversion"/>
  </si>
  <si>
    <t>ACL2_EPE</t>
    <phoneticPr fontId="1" type="noConversion"/>
  </si>
  <si>
    <t>FlowTCAM</t>
    <phoneticPr fontId="1" type="noConversion"/>
  </si>
  <si>
    <t>Spec</t>
    <phoneticPr fontId="1" type="noConversion"/>
  </si>
  <si>
    <t>Global</t>
    <phoneticPr fontId="1" type="noConversion"/>
  </si>
  <si>
    <t>GLB_MULT_GRP_NUM</t>
  </si>
  <si>
    <t>VSI_NUM</t>
  </si>
  <si>
    <t>ECMP_NUM</t>
  </si>
  <si>
    <t xml:space="preserve"> </t>
    <phoneticPr fontId="1" type="noConversion"/>
  </si>
  <si>
    <t>COUPLE_MODE</t>
    <phoneticPr fontId="1" type="noConversion"/>
  </si>
  <si>
    <t>Ipfix</t>
    <phoneticPr fontId="1" type="noConversion"/>
  </si>
  <si>
    <t>Id</t>
    <phoneticPr fontId="1" type="noConversion"/>
  </si>
  <si>
    <t>Table Name</t>
    <phoneticPr fontId="1" type="noConversion"/>
  </si>
  <si>
    <t>Couple Mode</t>
    <phoneticPr fontId="1" type="noConversion"/>
  </si>
  <si>
    <t>no</t>
    <phoneticPr fontId="1" type="noConversion"/>
  </si>
  <si>
    <t>IpTcam</t>
    <phoneticPr fontId="1" type="noConversion"/>
  </si>
  <si>
    <t>Ip Route  Mode</t>
    <phoneticPr fontId="1" type="noConversion"/>
  </si>
  <si>
    <t>IPV4_NAT_KEY</t>
    <phoneticPr fontId="1" type="noConversion"/>
  </si>
  <si>
    <t>NatTcam</t>
    <phoneticPr fontId="1" type="noConversion"/>
  </si>
  <si>
    <t>yes</t>
    <phoneticPr fontId="1" type="noConversion"/>
  </si>
  <si>
    <t>IP_ROUTE_MODE</t>
    <phoneticPr fontId="1" type="noConversion"/>
  </si>
  <si>
    <t>IPV4_UCAST_ROUTE_KEY</t>
    <phoneticPr fontId="1" type="noConversion"/>
  </si>
  <si>
    <t>IPV6_UCAST_ROUTE_KEY</t>
    <phoneticPr fontId="1" type="noConversion"/>
  </si>
  <si>
    <t>IPV6_UCAST_HALF_KEY</t>
    <phoneticPr fontId="1" type="noConversion"/>
  </si>
  <si>
    <t>NAPT</t>
    <phoneticPr fontId="1" type="noConversion"/>
  </si>
  <si>
    <t>GLB_NH_TBL_SIZE</t>
    <phoneticPr fontId="1" type="noConversion"/>
  </si>
  <si>
    <t>23(ShareMemory)</t>
    <phoneticPr fontId="1" type="noConversion"/>
  </si>
  <si>
    <t>24(ShareMemory)</t>
    <phoneticPr fontId="1" type="noConversion"/>
  </si>
  <si>
    <t>25(ShareMemory)</t>
    <phoneticPr fontId="1" type="noConversion"/>
  </si>
  <si>
    <t>26(ShareMemory)</t>
    <phoneticPr fontId="1" type="noConversion"/>
  </si>
  <si>
    <t>FIB1_HASH_KEY</t>
    <phoneticPr fontId="1" type="noConversion"/>
  </si>
  <si>
    <t>SCL_HASH_AD</t>
    <phoneticPr fontId="1" type="noConversion"/>
  </si>
  <si>
    <t>EDIT</t>
    <phoneticPr fontId="1" type="noConversion"/>
  </si>
  <si>
    <t>如果Memory couple，填成2, 
否则填成1</t>
    <phoneticPr fontId="1" type="noConversion"/>
  </si>
  <si>
    <t>(UserId0)</t>
    <phoneticPr fontId="1" type="noConversion"/>
  </si>
  <si>
    <t>(UserId1)</t>
    <phoneticPr fontId="1" type="noConversion"/>
  </si>
  <si>
    <t>(IPE ACL0)</t>
    <phoneticPr fontId="1" type="noConversion"/>
  </si>
  <si>
    <t>(IPE ACL1)</t>
    <phoneticPr fontId="1" type="noConversion"/>
  </si>
  <si>
    <t>(IPE ACL2)</t>
    <phoneticPr fontId="1" type="noConversion"/>
  </si>
  <si>
    <t>(IPE ACL3)</t>
    <phoneticPr fontId="1" type="noConversion"/>
  </si>
  <si>
    <t>(IPE ACL4)</t>
    <phoneticPr fontId="1" type="noConversion"/>
  </si>
  <si>
    <t>(IPE ACL5)</t>
    <phoneticPr fontId="1" type="noConversion"/>
  </si>
  <si>
    <t>(IPE ACL6)</t>
    <phoneticPr fontId="1" type="noConversion"/>
  </si>
  <si>
    <t>IPE ACL7)</t>
    <phoneticPr fontId="1" type="noConversion"/>
  </si>
  <si>
    <t>(EPE ACL0)</t>
    <phoneticPr fontId="1" type="noConversion"/>
  </si>
  <si>
    <t>(EPE ACL1)</t>
    <phoneticPr fontId="1" type="noConversion"/>
  </si>
  <si>
    <t>(EPE ACL2)</t>
    <phoneticPr fontId="1" type="noConversion"/>
  </si>
  <si>
    <t>(FlowTcam0)</t>
    <phoneticPr fontId="1" type="noConversion"/>
  </si>
  <si>
    <t>(FlowTcam1)</t>
    <phoneticPr fontId="1" type="noConversion"/>
  </si>
  <si>
    <t>(FlowTcam2)</t>
    <phoneticPr fontId="1" type="noConversion"/>
  </si>
  <si>
    <t>(FlowTcam3)</t>
    <phoneticPr fontId="1" type="noConversion"/>
  </si>
  <si>
    <t>SCL2</t>
    <phoneticPr fontId="1" type="noConversion"/>
  </si>
  <si>
    <t>SCL3</t>
    <phoneticPr fontId="1" type="noConversion"/>
  </si>
  <si>
    <t>(UserId2)</t>
    <phoneticPr fontId="1" type="noConversion"/>
  </si>
  <si>
    <t>(UserId3)</t>
    <phoneticPr fontId="1" type="noConversion"/>
  </si>
  <si>
    <t>no</t>
    <phoneticPr fontId="1" type="noConversion"/>
  </si>
  <si>
    <t>SCL1_HASH_KEY</t>
    <phoneticPr fontId="1" type="noConversion"/>
  </si>
  <si>
    <t>FIB_HASH_KEY</t>
    <phoneticPr fontId="1" type="noConversion"/>
  </si>
  <si>
    <t>SCL1_HASH_AD</t>
    <phoneticPr fontId="1" type="noConversion"/>
  </si>
  <si>
    <t>LPM_PIPE0</t>
    <phoneticPr fontId="1" type="noConversion"/>
  </si>
  <si>
    <t>SCL_MODE</t>
    <phoneticPr fontId="1" type="noConversion"/>
  </si>
  <si>
    <t>no</t>
    <phoneticPr fontId="1" type="noConversion"/>
  </si>
  <si>
    <t>28(ShareMemory5)</t>
    <phoneticPr fontId="1" type="noConversion"/>
  </si>
  <si>
    <t>27(ShareMemory4)</t>
    <phoneticPr fontId="1" type="noConversion"/>
  </si>
  <si>
    <t>6(Memory010)</t>
    <phoneticPr fontId="1" type="noConversion"/>
  </si>
  <si>
    <t>7(Memory011)</t>
    <phoneticPr fontId="1" type="noConversion"/>
  </si>
  <si>
    <t>8(Memory012)</t>
    <phoneticPr fontId="1" type="noConversion"/>
  </si>
  <si>
    <t>9(Memory013)</t>
    <phoneticPr fontId="1" type="noConversion"/>
  </si>
  <si>
    <t>10(Memory014)</t>
    <phoneticPr fontId="1" type="noConversion"/>
  </si>
  <si>
    <t>29(ShareMemory6)</t>
    <phoneticPr fontId="1" type="noConversion"/>
  </si>
  <si>
    <t>11(Memory100)</t>
    <phoneticPr fontId="1" type="noConversion"/>
  </si>
  <si>
    <t>12(Memory101)</t>
    <phoneticPr fontId="1" type="noConversion"/>
  </si>
  <si>
    <t>13(Memory102)</t>
    <phoneticPr fontId="1" type="noConversion"/>
  </si>
  <si>
    <t>14(Memory103)</t>
    <phoneticPr fontId="1" type="noConversion"/>
  </si>
  <si>
    <t>15(Memory104)</t>
    <phoneticPr fontId="1" type="noConversion"/>
  </si>
  <si>
    <t>16(Memory105)</t>
    <phoneticPr fontId="1" type="noConversion"/>
  </si>
  <si>
    <t>17(Memory200)</t>
    <phoneticPr fontId="1" type="noConversion"/>
  </si>
  <si>
    <t>18(Memory201)</t>
    <phoneticPr fontId="1" type="noConversion"/>
  </si>
  <si>
    <t>19(Memory202)</t>
    <phoneticPr fontId="1" type="noConversion"/>
  </si>
  <si>
    <t>20(Memory203)</t>
    <phoneticPr fontId="1" type="noConversion"/>
  </si>
  <si>
    <t>21(Memory204)</t>
    <phoneticPr fontId="1" type="noConversion"/>
  </si>
  <si>
    <t>22(Memory205)</t>
    <phoneticPr fontId="1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</si>
  <si>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</si>
  <si>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</si>
  <si>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</si>
  <si>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MPLS SR Tunnel</t>
    <phoneticPr fontId="2" type="noConversion"/>
  </si>
  <si>
    <t>PW for Mpls SR Tunnel</t>
    <phoneticPr fontId="2" type="noConversion"/>
  </si>
  <si>
    <t>1. v4 mode 1，即ipda+ipsa+vni全匹配时占用160的key
2. v6 占用320的key</t>
    <phoneticPr fontId="1" type="noConversion"/>
  </si>
  <si>
    <t>FIB_HASH_KEY(MAC)</t>
    <phoneticPr fontId="1" type="noConversion"/>
  </si>
  <si>
    <t>MA和session是1:1</t>
    <phoneticPr fontId="1" type="noConversion"/>
  </si>
  <si>
    <t>MEP是session的2倍（lmep和rmep），同时表项大小是160bits</t>
    <phoneticPr fontId="1" type="noConversion"/>
  </si>
  <si>
    <t>LM是oam session的1/4，但是lm的表项大小是320bits</t>
    <phoneticPr fontId="1" type="noConversion"/>
  </si>
  <si>
    <t>IPUC(V4)</t>
    <phoneticPr fontId="1" type="noConversion"/>
  </si>
  <si>
    <t>IPUC(V6)</t>
    <phoneticPr fontId="1" type="noConversion"/>
  </si>
  <si>
    <t>IP Host</t>
    <phoneticPr fontId="1" type="noConversion"/>
  </si>
  <si>
    <t>320/40</t>
    <phoneticPr fontId="1" type="noConversion"/>
  </si>
  <si>
    <t>V6按照64bit计算</t>
    <phoneticPr fontId="1" type="noConversion"/>
  </si>
  <si>
    <r>
      <t>附属表格2：动态SRAM所需最小资源汇总(</t>
    </r>
    <r>
      <rPr>
        <b/>
        <sz val="9"/>
        <color rgb="FFFF0000"/>
        <rFont val="微软雅黑"/>
        <family val="2"/>
        <charset val="134"/>
      </rPr>
      <t>请注意：在不用的Profile中一些动态表是共享的，Left的计算公式需要动态调整)</t>
    </r>
    <phoneticPr fontId="2" type="noConversion"/>
  </si>
  <si>
    <r>
      <t>U</t>
    </r>
    <r>
      <rPr>
        <sz val="12"/>
        <rFont val="微软雅黑"/>
        <family val="2"/>
        <charset val="134"/>
      </rPr>
      <t>sed</t>
    </r>
    <phoneticPr fontId="2" type="noConversion"/>
  </si>
  <si>
    <t>no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</si>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</sst>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9"/>
      <color indexed="81"/>
      <name val="Tahoma"/>
      <family val="2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FF0000"/>
      <name val="Arial Black"/>
      <family val="2"/>
    </font>
    <font>
      <b/>
      <sz val="9"/>
      <color indexed="12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0"/>
      <color indexed="12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9"/>
      <name val="微软雅黑"/>
      <family val="2"/>
      <charset val="134"/>
    </font>
    <font>
      <sz val="12"/>
      <color rgb="FFFF000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sz val="12"/>
      <name val="微软雅黑"/>
      <family val="2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ck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387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 applyProtection="1">
      <protection locked="0"/>
    </xf>
    <xf numFmtId="0" fontId="0" fillId="0" borderId="0" xfId="0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0" borderId="6" xfId="0" applyFill="1" applyBorder="1">
      <alignment vertical="center"/>
    </xf>
    <xf numFmtId="0" fontId="0" fillId="21" borderId="6" xfId="0" applyFill="1" applyBorder="1">
      <alignment vertical="center"/>
    </xf>
    <xf numFmtId="0" fontId="0" fillId="22" borderId="6" xfId="0" applyFill="1" applyBorder="1" applyAlignment="1">
      <alignment horizontal="center" vertical="center"/>
    </xf>
    <xf numFmtId="0" fontId="0" fillId="22" borderId="6" xfId="0" applyFill="1" applyBorder="1">
      <alignment vertical="center"/>
    </xf>
    <xf numFmtId="0" fontId="0" fillId="16" borderId="6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9" borderId="6" xfId="0" applyFill="1" applyBorder="1">
      <alignment vertical="center"/>
    </xf>
    <xf numFmtId="0" fontId="7" fillId="20" borderId="16" xfId="0" applyFont="1" applyFill="1" applyBorder="1">
      <alignment vertical="center"/>
    </xf>
    <xf numFmtId="0" fontId="7" fillId="20" borderId="17" xfId="0" applyFont="1" applyFill="1" applyBorder="1">
      <alignment vertical="center"/>
    </xf>
    <xf numFmtId="0" fontId="0" fillId="20" borderId="20" xfId="0" applyFill="1" applyBorder="1">
      <alignment vertical="center"/>
    </xf>
    <xf numFmtId="0" fontId="7" fillId="22" borderId="16" xfId="0" applyFont="1" applyFill="1" applyBorder="1">
      <alignment vertical="center"/>
    </xf>
    <xf numFmtId="0" fontId="7" fillId="22" borderId="17" xfId="0" applyFont="1" applyFill="1" applyBorder="1">
      <alignment vertical="center"/>
    </xf>
    <xf numFmtId="0" fontId="0" fillId="22" borderId="20" xfId="0" applyFill="1" applyBorder="1">
      <alignment vertical="center"/>
    </xf>
    <xf numFmtId="0" fontId="0" fillId="22" borderId="20" xfId="0" applyFill="1" applyBorder="1" applyAlignment="1">
      <alignment horizontal="center" vertical="center"/>
    </xf>
    <xf numFmtId="0" fontId="0" fillId="20" borderId="20" xfId="0" applyFill="1" applyBorder="1" applyAlignment="1">
      <alignment horizontal="center" vertical="center"/>
    </xf>
    <xf numFmtId="0" fontId="7" fillId="19" borderId="16" xfId="0" applyFont="1" applyFill="1" applyBorder="1">
      <alignment vertical="center"/>
    </xf>
    <xf numFmtId="0" fontId="7" fillId="19" borderId="17" xfId="0" applyFont="1" applyFill="1" applyBorder="1">
      <alignment vertical="center"/>
    </xf>
    <xf numFmtId="0" fontId="0" fillId="19" borderId="20" xfId="0" applyFill="1" applyBorder="1" applyAlignment="1">
      <alignment horizontal="center" vertical="center"/>
    </xf>
    <xf numFmtId="0" fontId="0" fillId="19" borderId="20" xfId="0" applyFill="1" applyBorder="1">
      <alignment vertical="center"/>
    </xf>
    <xf numFmtId="0" fontId="0" fillId="19" borderId="4" xfId="0" applyFill="1" applyBorder="1">
      <alignment vertical="center"/>
    </xf>
    <xf numFmtId="0" fontId="0" fillId="19" borderId="6" xfId="0" applyFill="1" applyBorder="1" applyAlignment="1">
      <alignment horizontal="left" vertical="center"/>
    </xf>
    <xf numFmtId="0" fontId="0" fillId="19" borderId="4" xfId="0" applyFill="1" applyBorder="1" applyAlignment="1">
      <alignment horizontal="center" vertical="center"/>
    </xf>
    <xf numFmtId="0" fontId="0" fillId="22" borderId="4" xfId="0" applyFill="1" applyBorder="1" applyAlignment="1">
      <alignment horizontal="center" vertical="center"/>
    </xf>
    <xf numFmtId="0" fontId="0" fillId="22" borderId="4" xfId="0" applyFill="1" applyBorder="1">
      <alignment vertical="center"/>
    </xf>
    <xf numFmtId="0" fontId="0" fillId="22" borderId="4" xfId="0" applyFill="1" applyBorder="1" applyAlignment="1">
      <alignment horizontal="center" vertical="center"/>
    </xf>
    <xf numFmtId="0" fontId="0" fillId="19" borderId="6" xfId="0" applyFill="1" applyBorder="1" applyAlignment="1">
      <alignment vertical="center"/>
    </xf>
    <xf numFmtId="0" fontId="0" fillId="19" borderId="20" xfId="0" applyFill="1" applyBorder="1" applyAlignment="1">
      <alignment vertical="center"/>
    </xf>
    <xf numFmtId="0" fontId="0" fillId="22" borderId="6" xfId="0" applyFill="1" applyBorder="1" applyAlignment="1">
      <alignment vertical="center"/>
    </xf>
    <xf numFmtId="0" fontId="7" fillId="20" borderId="27" xfId="0" applyFont="1" applyFill="1" applyBorder="1">
      <alignment vertical="center"/>
    </xf>
    <xf numFmtId="0" fontId="7" fillId="19" borderId="27" xfId="0" applyFont="1" applyFill="1" applyBorder="1">
      <alignment vertical="center"/>
    </xf>
    <xf numFmtId="0" fontId="0" fillId="19" borderId="28" xfId="0" applyFill="1" applyBorder="1" applyAlignment="1">
      <alignment horizontal="center" vertical="center"/>
    </xf>
    <xf numFmtId="0" fontId="7" fillId="22" borderId="27" xfId="0" applyFont="1" applyFill="1" applyBorder="1">
      <alignment vertical="center"/>
    </xf>
    <xf numFmtId="0" fontId="0" fillId="22" borderId="28" xfId="0" applyFill="1" applyBorder="1" applyAlignment="1">
      <alignment horizontal="center" vertical="center"/>
    </xf>
    <xf numFmtId="0" fontId="7" fillId="20" borderId="27" xfId="0" applyFont="1" applyFill="1" applyBorder="1" applyAlignment="1">
      <alignment vertical="center" wrapText="1"/>
    </xf>
    <xf numFmtId="0" fontId="9" fillId="19" borderId="4" xfId="0" applyFont="1" applyFill="1" applyBorder="1">
      <alignment vertical="center"/>
    </xf>
    <xf numFmtId="0" fontId="7" fillId="24" borderId="16" xfId="0" applyFont="1" applyFill="1" applyBorder="1">
      <alignment vertical="center"/>
    </xf>
    <xf numFmtId="0" fontId="7" fillId="24" borderId="17" xfId="0" applyFont="1" applyFill="1" applyBorder="1">
      <alignment vertical="center"/>
    </xf>
    <xf numFmtId="0" fontId="7" fillId="24" borderId="27" xfId="0" applyFont="1" applyFill="1" applyBorder="1" applyAlignment="1">
      <alignment vertical="center" wrapText="1"/>
    </xf>
    <xf numFmtId="0" fontId="0" fillId="24" borderId="6" xfId="0" applyFill="1" applyBorder="1" applyAlignment="1">
      <alignment horizontal="center" vertical="center"/>
    </xf>
    <xf numFmtId="0" fontId="0" fillId="24" borderId="6" xfId="0" applyFill="1" applyBorder="1">
      <alignment vertical="center"/>
    </xf>
    <xf numFmtId="0" fontId="0" fillId="24" borderId="4" xfId="0" applyFill="1" applyBorder="1" applyAlignment="1">
      <alignment horizontal="center" vertical="center"/>
    </xf>
    <xf numFmtId="0" fontId="0" fillId="24" borderId="4" xfId="0" applyFill="1" applyBorder="1">
      <alignment vertical="center"/>
    </xf>
    <xf numFmtId="0" fontId="0" fillId="24" borderId="20" xfId="0" applyFill="1" applyBorder="1" applyAlignment="1">
      <alignment horizontal="center" vertical="center"/>
    </xf>
    <xf numFmtId="0" fontId="0" fillId="24" borderId="20" xfId="0" applyFill="1" applyBorder="1">
      <alignment vertical="center"/>
    </xf>
    <xf numFmtId="0" fontId="7" fillId="20" borderId="1" xfId="0" applyFont="1" applyFill="1" applyBorder="1">
      <alignment vertical="center"/>
    </xf>
    <xf numFmtId="0" fontId="7" fillId="20" borderId="2" xfId="0" applyFont="1" applyFill="1" applyBorder="1">
      <alignment vertical="center"/>
    </xf>
    <xf numFmtId="0" fontId="7" fillId="20" borderId="36" xfId="0" applyFont="1" applyFill="1" applyBorder="1">
      <alignment vertical="center"/>
    </xf>
    <xf numFmtId="0" fontId="0" fillId="20" borderId="6" xfId="0" applyFill="1" applyBorder="1" applyAlignment="1">
      <alignment horizontal="left" vertical="center"/>
    </xf>
    <xf numFmtId="0" fontId="0" fillId="20" borderId="39" xfId="0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/>
    </xf>
    <xf numFmtId="0" fontId="7" fillId="19" borderId="1" xfId="0" applyFont="1" applyFill="1" applyBorder="1">
      <alignment vertical="center"/>
    </xf>
    <xf numFmtId="0" fontId="7" fillId="19" borderId="2" xfId="0" applyFont="1" applyFill="1" applyBorder="1">
      <alignment vertical="center"/>
    </xf>
    <xf numFmtId="0" fontId="7" fillId="19" borderId="36" xfId="0" applyFont="1" applyFill="1" applyBorder="1">
      <alignment vertical="center"/>
    </xf>
    <xf numFmtId="0" fontId="0" fillId="19" borderId="9" xfId="0" applyFill="1" applyBorder="1" applyAlignment="1">
      <alignment horizontal="center" vertical="center"/>
    </xf>
    <xf numFmtId="0" fontId="0" fillId="19" borderId="11" xfId="0" applyFill="1" applyBorder="1" applyAlignment="1">
      <alignment vertical="center"/>
    </xf>
    <xf numFmtId="0" fontId="0" fillId="19" borderId="11" xfId="0" applyFill="1" applyBorder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7" fillId="22" borderId="1" xfId="0" applyFont="1" applyFill="1" applyBorder="1">
      <alignment vertical="center"/>
    </xf>
    <xf numFmtId="0" fontId="7" fillId="22" borderId="2" xfId="0" applyFont="1" applyFill="1" applyBorder="1">
      <alignment vertical="center"/>
    </xf>
    <xf numFmtId="0" fontId="7" fillId="22" borderId="36" xfId="0" applyFont="1" applyFill="1" applyBorder="1">
      <alignment vertical="center"/>
    </xf>
    <xf numFmtId="0" fontId="0" fillId="22" borderId="4" xfId="0" applyFill="1" applyBorder="1" applyAlignment="1">
      <alignment horizontal="left" vertical="center"/>
    </xf>
    <xf numFmtId="0" fontId="0" fillId="22" borderId="11" xfId="0" applyFill="1" applyBorder="1" applyAlignment="1">
      <alignment horizontal="left" vertical="center"/>
    </xf>
    <xf numFmtId="0" fontId="0" fillId="22" borderId="11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7" fillId="0" borderId="2" xfId="0" applyFont="1" applyBorder="1" applyProtection="1">
      <alignment vertical="center"/>
      <protection locked="0"/>
    </xf>
    <xf numFmtId="0" fontId="7" fillId="0" borderId="2" xfId="0" applyFont="1" applyFill="1" applyBorder="1" applyProtection="1">
      <alignment vertical="center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18" borderId="6" xfId="0" applyFill="1" applyBorder="1" applyAlignment="1" applyProtection="1">
      <alignment horizontal="center" vertical="center"/>
      <protection locked="0"/>
    </xf>
    <xf numFmtId="0" fontId="0" fillId="18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center" vertical="center"/>
    </xf>
    <xf numFmtId="0" fontId="7" fillId="22" borderId="8" xfId="0" applyFont="1" applyFill="1" applyBorder="1" applyAlignment="1" applyProtection="1">
      <alignment horizontal="center" vertical="center"/>
      <protection locked="0"/>
    </xf>
    <xf numFmtId="0" fontId="7" fillId="18" borderId="8" xfId="0" applyFont="1" applyFill="1" applyBorder="1" applyAlignment="1" applyProtection="1">
      <alignment horizontal="center" vertical="center"/>
      <protection locked="0"/>
    </xf>
    <xf numFmtId="0" fontId="0" fillId="18" borderId="6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7" fillId="0" borderId="15" xfId="0" applyFont="1" applyBorder="1">
      <alignment vertical="center"/>
    </xf>
    <xf numFmtId="0" fontId="0" fillId="23" borderId="9" xfId="0" applyFill="1" applyBorder="1" applyAlignment="1" applyProtection="1">
      <alignment horizontal="center" vertical="center"/>
    </xf>
    <xf numFmtId="0" fontId="0" fillId="16" borderId="45" xfId="0" applyFill="1" applyBorder="1" applyAlignment="1">
      <alignment horizontal="center" vertical="center"/>
    </xf>
    <xf numFmtId="0" fontId="0" fillId="23" borderId="14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0" borderId="0" xfId="0">
      <alignment vertical="center"/>
    </xf>
    <xf numFmtId="0" fontId="7" fillId="0" borderId="6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10" fillId="0" borderId="6" xfId="0" applyFon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vertical="center" wrapText="1"/>
    </xf>
    <xf numFmtId="0" fontId="0" fillId="11" borderId="6" xfId="0" applyFill="1" applyBorder="1">
      <alignment vertical="center"/>
    </xf>
    <xf numFmtId="0" fontId="0" fillId="5" borderId="6" xfId="0" applyFill="1" applyBorder="1">
      <alignment vertical="center"/>
    </xf>
    <xf numFmtId="0" fontId="0" fillId="31" borderId="6" xfId="0" applyFill="1" applyBorder="1">
      <alignment vertical="center"/>
    </xf>
    <xf numFmtId="0" fontId="0" fillId="15" borderId="6" xfId="0" applyFill="1" applyBorder="1">
      <alignment vertical="center"/>
    </xf>
    <xf numFmtId="0" fontId="0" fillId="12" borderId="6" xfId="0" applyFill="1" applyBorder="1">
      <alignment vertical="center"/>
    </xf>
    <xf numFmtId="0" fontId="0" fillId="13" borderId="6" xfId="0" applyFill="1" applyBorder="1">
      <alignment vertical="center"/>
    </xf>
    <xf numFmtId="0" fontId="0" fillId="3" borderId="10" xfId="0" applyFill="1" applyBorder="1" applyAlignment="1">
      <alignment horizontal="center" vertical="center"/>
    </xf>
    <xf numFmtId="0" fontId="7" fillId="0" borderId="8" xfId="0" applyFont="1" applyBorder="1">
      <alignment vertical="center"/>
    </xf>
    <xf numFmtId="0" fontId="7" fillId="0" borderId="6" xfId="0" applyFont="1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7" fillId="0" borderId="6" xfId="0" applyFont="1" applyFill="1" applyBorder="1" applyAlignment="1">
      <alignment horizontal="center" vertical="center"/>
    </xf>
    <xf numFmtId="0" fontId="0" fillId="26" borderId="8" xfId="0" applyFill="1" applyBorder="1">
      <alignment vertical="center"/>
    </xf>
    <xf numFmtId="0" fontId="0" fillId="26" borderId="6" xfId="0" applyFill="1" applyBorder="1">
      <alignment vertical="center"/>
    </xf>
    <xf numFmtId="0" fontId="0" fillId="26" borderId="9" xfId="0" applyFill="1" applyBorder="1">
      <alignment vertical="center"/>
    </xf>
    <xf numFmtId="0" fontId="0" fillId="27" borderId="8" xfId="0" applyFill="1" applyBorder="1">
      <alignment vertical="center"/>
    </xf>
    <xf numFmtId="0" fontId="0" fillId="27" borderId="6" xfId="0" applyFill="1" applyBorder="1">
      <alignment vertical="center"/>
    </xf>
    <xf numFmtId="0" fontId="0" fillId="27" borderId="9" xfId="0" applyFill="1" applyBorder="1">
      <alignment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8" xfId="0" applyFont="1" applyFill="1" applyBorder="1">
      <alignment vertical="center"/>
    </xf>
    <xf numFmtId="0" fontId="0" fillId="28" borderId="10" xfId="0" applyFill="1" applyBorder="1">
      <alignment vertical="center"/>
    </xf>
    <xf numFmtId="0" fontId="0" fillId="28" borderId="11" xfId="0" applyFill="1" applyBorder="1">
      <alignment vertical="center"/>
    </xf>
    <xf numFmtId="0" fontId="0" fillId="28" borderId="41" xfId="0" applyFill="1" applyBorder="1">
      <alignment vertical="center"/>
    </xf>
    <xf numFmtId="0" fontId="7" fillId="4" borderId="8" xfId="0" applyFont="1" applyFill="1" applyBorder="1">
      <alignment vertical="center"/>
    </xf>
    <xf numFmtId="0" fontId="0" fillId="29" borderId="8" xfId="0" applyFill="1" applyBorder="1">
      <alignment vertical="center"/>
    </xf>
    <xf numFmtId="0" fontId="0" fillId="32" borderId="8" xfId="0" applyFill="1" applyBorder="1">
      <alignment vertical="center"/>
    </xf>
    <xf numFmtId="0" fontId="0" fillId="0" borderId="0" xfId="0">
      <alignment vertical="center"/>
    </xf>
    <xf numFmtId="0" fontId="0" fillId="26" borderId="6" xfId="0" applyFill="1" applyBorder="1" applyAlignment="1">
      <alignment horizontal="center" vertical="center"/>
    </xf>
    <xf numFmtId="0" fontId="7" fillId="0" borderId="45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14" xfId="0" applyBorder="1">
      <alignment vertical="center"/>
    </xf>
    <xf numFmtId="0" fontId="7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7" fillId="25" borderId="6" xfId="0" applyFont="1" applyFill="1" applyBorder="1" applyAlignment="1">
      <alignment horizontal="center" vertical="center"/>
    </xf>
    <xf numFmtId="0" fontId="0" fillId="25" borderId="6" xfId="0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14" borderId="6" xfId="0" applyFont="1" applyFill="1" applyBorder="1">
      <alignment vertical="center"/>
    </xf>
    <xf numFmtId="0" fontId="7" fillId="14" borderId="6" xfId="0" applyFont="1" applyFill="1" applyBorder="1" applyAlignment="1">
      <alignment vertical="center" wrapText="1"/>
    </xf>
    <xf numFmtId="0" fontId="0" fillId="14" borderId="6" xfId="0" applyFill="1" applyBorder="1" applyAlignment="1">
      <alignment horizontal="center" vertical="center"/>
    </xf>
    <xf numFmtId="0" fontId="0" fillId="14" borderId="6" xfId="0" applyFill="1" applyBorder="1">
      <alignment vertical="center"/>
    </xf>
    <xf numFmtId="0" fontId="10" fillId="14" borderId="6" xfId="0" applyFont="1" applyFill="1" applyBorder="1">
      <alignment vertical="center"/>
    </xf>
    <xf numFmtId="0" fontId="10" fillId="14" borderId="6" xfId="0" applyFont="1" applyFill="1" applyBorder="1" applyAlignment="1">
      <alignment horizontal="center" vertical="center"/>
    </xf>
    <xf numFmtId="0" fontId="7" fillId="0" borderId="6" xfId="0" applyFont="1" applyBorder="1">
      <alignment vertical="center"/>
    </xf>
    <xf numFmtId="0" fontId="10" fillId="22" borderId="6" xfId="0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/>
    </xf>
    <xf numFmtId="0" fontId="0" fillId="25" borderId="6" xfId="0" applyNumberFormat="1" applyFill="1" applyBorder="1" applyAlignment="1">
      <alignment horizontal="center" vertical="center"/>
    </xf>
    <xf numFmtId="0" fontId="0" fillId="12" borderId="6" xfId="0" applyFill="1" applyBorder="1" applyAlignment="1" applyProtection="1">
      <alignment horizontal="center" vertical="center"/>
      <protection locked="0"/>
    </xf>
    <xf numFmtId="0" fontId="0" fillId="12" borderId="6" xfId="0" applyFill="1" applyBorder="1" applyAlignment="1">
      <alignment horizontal="center" vertical="center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34" borderId="6" xfId="0" applyFill="1" applyBorder="1" applyAlignment="1" applyProtection="1">
      <alignment horizontal="center" vertical="center"/>
      <protection locked="0"/>
    </xf>
    <xf numFmtId="0" fontId="0" fillId="34" borderId="6" xfId="0" applyFont="1" applyFill="1" applyBorder="1" applyAlignment="1" applyProtection="1">
      <alignment horizontal="center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0" fillId="37" borderId="6" xfId="0" applyFill="1" applyBorder="1" applyAlignment="1" applyProtection="1">
      <alignment horizontal="center" vertical="center"/>
      <protection locked="0"/>
    </xf>
    <xf numFmtId="0" fontId="0" fillId="37" borderId="6" xfId="0" applyFill="1" applyBorder="1" applyAlignment="1" applyProtection="1">
      <alignment horizontal="center" vertical="center"/>
    </xf>
    <xf numFmtId="0" fontId="0" fillId="37" borderId="45" xfId="0" applyFill="1" applyBorder="1" applyAlignment="1">
      <alignment horizontal="center" vertical="center"/>
    </xf>
    <xf numFmtId="0" fontId="0" fillId="33" borderId="6" xfId="0" applyFill="1" applyBorder="1" applyAlignment="1" applyProtection="1">
      <alignment horizontal="center" vertical="center"/>
    </xf>
    <xf numFmtId="0" fontId="0" fillId="33" borderId="6" xfId="0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0" fontId="0" fillId="33" borderId="9" xfId="0" applyFill="1" applyBorder="1" applyAlignment="1">
      <alignment horizontal="center" vertical="center"/>
    </xf>
    <xf numFmtId="0" fontId="0" fillId="39" borderId="6" xfId="0" applyFill="1" applyBorder="1" applyAlignment="1" applyProtection="1">
      <alignment horizontal="center" vertical="center"/>
      <protection locked="0"/>
    </xf>
    <xf numFmtId="0" fontId="0" fillId="36" borderId="9" xfId="0" applyFill="1" applyBorder="1" applyAlignment="1" applyProtection="1">
      <alignment horizontal="center" vertical="center"/>
    </xf>
    <xf numFmtId="0" fontId="0" fillId="36" borderId="9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35" borderId="9" xfId="0" applyFill="1" applyBorder="1" applyAlignment="1">
      <alignment horizontal="center" vertical="center"/>
    </xf>
    <xf numFmtId="0" fontId="0" fillId="38" borderId="9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1" fillId="42" borderId="0" xfId="0" applyFont="1" applyFill="1" applyAlignment="1">
      <alignment horizontal="left" vertical="center"/>
    </xf>
    <xf numFmtId="0" fontId="0" fillId="0" borderId="6" xfId="0" applyFill="1" applyBorder="1">
      <alignment vertical="center"/>
    </xf>
    <xf numFmtId="0" fontId="0" fillId="0" borderId="6" xfId="0" quotePrefix="1" applyBorder="1">
      <alignment vertical="center"/>
    </xf>
    <xf numFmtId="0" fontId="0" fillId="26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7" borderId="4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23" borderId="6" xfId="0" applyFill="1" applyBorder="1" applyAlignment="1">
      <alignment horizontal="center" vertical="center"/>
    </xf>
    <xf numFmtId="0" fontId="0" fillId="43" borderId="6" xfId="0" applyFill="1" applyBorder="1" applyAlignment="1">
      <alignment horizontal="center" vertical="center"/>
    </xf>
    <xf numFmtId="0" fontId="0" fillId="25" borderId="51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22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4" borderId="0" xfId="0" applyFill="1" applyBorder="1">
      <alignment vertical="center"/>
    </xf>
    <xf numFmtId="0" fontId="0" fillId="20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7" fillId="0" borderId="9" xfId="0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41" xfId="0" applyBorder="1">
      <alignment vertical="center"/>
    </xf>
    <xf numFmtId="0" fontId="13" fillId="0" borderId="0" xfId="0" applyFont="1" applyAlignment="1"/>
    <xf numFmtId="0" fontId="13" fillId="0" borderId="0" xfId="0" applyFont="1" applyAlignment="1" applyProtection="1">
      <protection locked="0"/>
    </xf>
    <xf numFmtId="0" fontId="14" fillId="7" borderId="6" xfId="0" applyFont="1" applyFill="1" applyBorder="1" applyAlignment="1"/>
    <xf numFmtId="0" fontId="14" fillId="8" borderId="6" xfId="1" applyFont="1" applyFill="1" applyBorder="1">
      <alignment vertical="center"/>
    </xf>
    <xf numFmtId="0" fontId="14" fillId="7" borderId="6" xfId="0" applyFont="1" applyFill="1" applyBorder="1" applyAlignment="1">
      <alignment wrapText="1"/>
    </xf>
    <xf numFmtId="0" fontId="15" fillId="0" borderId="0" xfId="0" applyFont="1" applyAlignment="1"/>
    <xf numFmtId="0" fontId="16" fillId="0" borderId="0" xfId="0" applyFont="1" applyAlignment="1"/>
    <xf numFmtId="0" fontId="16" fillId="0" borderId="0" xfId="0" applyFont="1" applyAlignment="1" applyProtection="1">
      <protection locked="0"/>
    </xf>
    <xf numFmtId="0" fontId="17" fillId="6" borderId="6" xfId="0" applyFont="1" applyFill="1" applyBorder="1" applyAlignment="1">
      <alignment horizontal="center"/>
    </xf>
    <xf numFmtId="0" fontId="17" fillId="6" borderId="6" xfId="0" applyFont="1" applyFill="1" applyBorder="1" applyAlignment="1"/>
    <xf numFmtId="0" fontId="16" fillId="19" borderId="6" xfId="0" applyFont="1" applyFill="1" applyBorder="1">
      <alignment vertical="center"/>
    </xf>
    <xf numFmtId="0" fontId="17" fillId="7" borderId="6" xfId="0" applyFont="1" applyFill="1" applyBorder="1" applyAlignment="1"/>
    <xf numFmtId="0" fontId="17" fillId="19" borderId="6" xfId="1" applyFont="1" applyFill="1" applyBorder="1">
      <alignment vertical="center"/>
    </xf>
    <xf numFmtId="0" fontId="17" fillId="9" borderId="6" xfId="1" applyFont="1" applyFill="1" applyBorder="1">
      <alignment vertical="center"/>
    </xf>
    <xf numFmtId="0" fontId="17" fillId="8" borderId="6" xfId="1" applyFont="1" applyFill="1" applyBorder="1">
      <alignment vertical="center"/>
    </xf>
    <xf numFmtId="0" fontId="17" fillId="12" borderId="6" xfId="1" applyFont="1" applyFill="1" applyBorder="1">
      <alignment vertical="center"/>
    </xf>
    <xf numFmtId="0" fontId="17" fillId="18" borderId="6" xfId="1" applyFont="1" applyFill="1" applyBorder="1" applyAlignment="1">
      <alignment vertical="center" wrapText="1"/>
    </xf>
    <xf numFmtId="0" fontId="17" fillId="18" borderId="6" xfId="1" applyFont="1" applyFill="1" applyBorder="1">
      <alignment vertical="center"/>
    </xf>
    <xf numFmtId="0" fontId="17" fillId="7" borderId="6" xfId="0" applyFont="1" applyFill="1" applyBorder="1" applyAlignment="1">
      <alignment wrapText="1"/>
    </xf>
    <xf numFmtId="0" fontId="17" fillId="30" borderId="6" xfId="1" applyFont="1" applyFill="1" applyBorder="1">
      <alignment vertical="center"/>
    </xf>
    <xf numFmtId="0" fontId="17" fillId="17" borderId="6" xfId="1" applyFont="1" applyFill="1" applyBorder="1">
      <alignment vertical="center"/>
    </xf>
    <xf numFmtId="0" fontId="16" fillId="0" borderId="6" xfId="0" applyFont="1" applyBorder="1" applyAlignment="1">
      <alignment horizontal="center" vertical="center"/>
    </xf>
    <xf numFmtId="0" fontId="17" fillId="7" borderId="6" xfId="0" applyFont="1" applyFill="1" applyBorder="1" applyAlignment="1">
      <alignment horizontal="center"/>
    </xf>
    <xf numFmtId="0" fontId="18" fillId="0" borderId="6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4" fillId="7" borderId="6" xfId="0" applyFont="1" applyFill="1" applyBorder="1" applyAlignment="1">
      <alignment horizontal="center"/>
    </xf>
    <xf numFmtId="0" fontId="14" fillId="11" borderId="6" xfId="0" applyFont="1" applyFill="1" applyBorder="1" applyAlignment="1"/>
    <xf numFmtId="0" fontId="14" fillId="2" borderId="6" xfId="0" applyFont="1" applyFill="1" applyBorder="1" applyAlignment="1">
      <alignment horizontal="center"/>
    </xf>
    <xf numFmtId="0" fontId="14" fillId="11" borderId="6" xfId="1" applyFont="1" applyFill="1" applyBorder="1">
      <alignment vertical="center"/>
    </xf>
    <xf numFmtId="0" fontId="19" fillId="2" borderId="6" xfId="1" applyFont="1" applyFill="1" applyBorder="1">
      <alignment vertical="center"/>
    </xf>
    <xf numFmtId="0" fontId="13" fillId="0" borderId="0" xfId="0" applyFont="1">
      <alignment vertical="center"/>
    </xf>
    <xf numFmtId="0" fontId="12" fillId="0" borderId="6" xfId="1" applyFont="1" applyFill="1" applyBorder="1">
      <alignment vertical="center"/>
    </xf>
    <xf numFmtId="0" fontId="14" fillId="0" borderId="6" xfId="0" applyFont="1" applyFill="1" applyBorder="1" applyAlignment="1"/>
    <xf numFmtId="0" fontId="14" fillId="0" borderId="0" xfId="0" applyFont="1" applyFill="1" applyBorder="1" applyAlignment="1"/>
    <xf numFmtId="0" fontId="14" fillId="10" borderId="6" xfId="0" applyFont="1" applyFill="1" applyBorder="1" applyAlignment="1"/>
    <xf numFmtId="0" fontId="20" fillId="0" borderId="6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 vertical="center"/>
      <protection locked="0"/>
    </xf>
    <xf numFmtId="0" fontId="12" fillId="0" borderId="0" xfId="0" applyFont="1" applyFill="1" applyAlignment="1"/>
    <xf numFmtId="0" fontId="14" fillId="10" borderId="1" xfId="0" applyFont="1" applyFill="1" applyBorder="1" applyAlignment="1"/>
    <xf numFmtId="0" fontId="14" fillId="10" borderId="2" xfId="0" applyFont="1" applyFill="1" applyBorder="1" applyAlignment="1"/>
    <xf numFmtId="0" fontId="14" fillId="10" borderId="12" xfId="0" applyFont="1" applyFill="1" applyBorder="1" applyAlignment="1" applyProtection="1">
      <protection locked="0"/>
    </xf>
    <xf numFmtId="0" fontId="14" fillId="6" borderId="8" xfId="1" applyFont="1" applyFill="1" applyBorder="1">
      <alignment vertical="center"/>
    </xf>
    <xf numFmtId="0" fontId="14" fillId="6" borderId="8" xfId="1" applyFont="1" applyFill="1" applyBorder="1" applyProtection="1">
      <alignment vertical="center"/>
      <protection locked="0"/>
    </xf>
    <xf numFmtId="0" fontId="14" fillId="0" borderId="0" xfId="1" applyFont="1" applyFill="1" applyBorder="1">
      <alignment vertical="center"/>
    </xf>
    <xf numFmtId="0" fontId="14" fillId="0" borderId="0" xfId="0" applyFont="1" applyFill="1" applyBorder="1" applyAlignment="1" applyProtection="1">
      <protection locked="0"/>
    </xf>
    <xf numFmtId="0" fontId="17" fillId="6" borderId="6" xfId="0" applyFont="1" applyFill="1" applyBorder="1" applyAlignment="1">
      <alignment horizontal="center" vertical="center"/>
    </xf>
    <xf numFmtId="0" fontId="17" fillId="6" borderId="6" xfId="0" applyFont="1" applyFill="1" applyBorder="1" applyAlignment="1">
      <alignment horizontal="center"/>
    </xf>
    <xf numFmtId="0" fontId="17" fillId="6" borderId="6" xfId="0" applyFont="1" applyFill="1" applyBorder="1" applyAlignment="1" applyProtection="1">
      <alignment horizontal="center" wrapText="1"/>
      <protection locked="0"/>
    </xf>
    <xf numFmtId="0" fontId="14" fillId="2" borderId="6" xfId="0" applyFont="1" applyFill="1" applyBorder="1" applyAlignment="1">
      <alignment horizontal="center"/>
    </xf>
    <xf numFmtId="0" fontId="17" fillId="7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 vertical="center"/>
    </xf>
    <xf numFmtId="0" fontId="0" fillId="32" borderId="3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7" fillId="23" borderId="3" xfId="0" applyFont="1" applyFill="1" applyBorder="1" applyAlignment="1" applyProtection="1">
      <alignment horizontal="center" vertical="center"/>
      <protection locked="0"/>
    </xf>
    <xf numFmtId="0" fontId="7" fillId="23" borderId="32" xfId="0" applyFont="1" applyFill="1" applyBorder="1" applyAlignment="1" applyProtection="1">
      <alignment horizontal="center" vertical="center"/>
      <protection locked="0"/>
    </xf>
    <xf numFmtId="0" fontId="7" fillId="23" borderId="33" xfId="0" applyFont="1" applyFill="1" applyBorder="1" applyAlignment="1" applyProtection="1">
      <alignment horizontal="center" vertical="center"/>
      <protection locked="0"/>
    </xf>
    <xf numFmtId="0" fontId="7" fillId="0" borderId="47" xfId="0" applyFont="1" applyFill="1" applyBorder="1" applyAlignment="1">
      <alignment horizontal="center" vertical="center"/>
    </xf>
    <xf numFmtId="0" fontId="7" fillId="0" borderId="46" xfId="0" applyFont="1" applyFill="1" applyBorder="1" applyAlignment="1">
      <alignment horizontal="center" vertical="center"/>
    </xf>
    <xf numFmtId="0" fontId="7" fillId="0" borderId="36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0" fontId="7" fillId="4" borderId="48" xfId="0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center" vertical="center"/>
    </xf>
    <xf numFmtId="0" fontId="0" fillId="4" borderId="4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0" fontId="7" fillId="16" borderId="32" xfId="0" applyFont="1" applyFill="1" applyBorder="1" applyAlignment="1">
      <alignment horizontal="center" vertical="center"/>
    </xf>
    <xf numFmtId="0" fontId="7" fillId="16" borderId="38" xfId="0" applyFont="1" applyFill="1" applyBorder="1" applyAlignment="1">
      <alignment horizontal="center" vertical="center"/>
    </xf>
    <xf numFmtId="0" fontId="7" fillId="22" borderId="3" xfId="0" applyFont="1" applyFill="1" applyBorder="1" applyAlignment="1" applyProtection="1">
      <alignment horizontal="center" vertical="center"/>
      <protection locked="0"/>
    </xf>
    <xf numFmtId="0" fontId="0" fillId="0" borderId="33" xfId="0" applyBorder="1">
      <alignment vertical="center"/>
    </xf>
    <xf numFmtId="0" fontId="7" fillId="22" borderId="32" xfId="0" applyFont="1" applyFill="1" applyBorder="1" applyAlignment="1" applyProtection="1">
      <alignment horizontal="center" vertical="center"/>
      <protection locked="0"/>
    </xf>
    <xf numFmtId="0" fontId="7" fillId="22" borderId="33" xfId="0" applyFont="1" applyFill="1" applyBorder="1" applyAlignment="1" applyProtection="1">
      <alignment horizontal="center" vertical="center"/>
      <protection locked="0"/>
    </xf>
    <xf numFmtId="0" fontId="0" fillId="41" borderId="12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22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22" borderId="6" xfId="0" applyFill="1" applyBorder="1">
      <alignment vertical="center"/>
    </xf>
    <xf numFmtId="0" fontId="0" fillId="22" borderId="4" xfId="0" applyFill="1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40" borderId="1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7" borderId="4" xfId="0" applyFill="1" applyBorder="1" applyAlignment="1">
      <alignment horizontal="center" vertical="center"/>
    </xf>
    <xf numFmtId="0" fontId="0" fillId="27" borderId="22" xfId="0" applyFill="1" applyBorder="1" applyAlignment="1">
      <alignment horizontal="center" vertical="center"/>
    </xf>
    <xf numFmtId="0" fontId="0" fillId="27" borderId="7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0" fillId="41" borderId="22" xfId="0" applyFill="1" applyBorder="1" applyAlignment="1">
      <alignment horizontal="center" vertical="center"/>
    </xf>
    <xf numFmtId="0" fontId="0" fillId="41" borderId="7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7" fillId="22" borderId="6" xfId="0" applyFont="1" applyFill="1" applyBorder="1" applyAlignment="1">
      <alignment horizontal="center" vertical="center"/>
    </xf>
    <xf numFmtId="0" fontId="7" fillId="26" borderId="6" xfId="0" applyFont="1" applyFill="1" applyBorder="1" applyAlignment="1">
      <alignment horizontal="center" vertical="center"/>
    </xf>
    <xf numFmtId="0" fontId="0" fillId="20" borderId="18" xfId="0" applyFill="1" applyBorder="1" applyAlignment="1">
      <alignment horizontal="center" vertical="center"/>
    </xf>
    <xf numFmtId="0" fontId="0" fillId="20" borderId="19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7" xfId="0" applyFill="1" applyBorder="1" applyAlignment="1">
      <alignment horizontal="center" vertical="center"/>
    </xf>
    <xf numFmtId="0" fontId="0" fillId="19" borderId="22" xfId="0" applyFill="1" applyBorder="1" applyAlignment="1">
      <alignment horizontal="center" vertical="center"/>
    </xf>
    <xf numFmtId="0" fontId="0" fillId="20" borderId="23" xfId="0" applyFill="1" applyBorder="1" applyAlignment="1">
      <alignment horizontal="center" vertical="center"/>
    </xf>
    <xf numFmtId="0" fontId="0" fillId="20" borderId="29" xfId="0" applyFill="1" applyBorder="1" applyAlignment="1">
      <alignment horizontal="center" vertical="center"/>
    </xf>
    <xf numFmtId="0" fontId="0" fillId="20" borderId="30" xfId="0" applyFill="1" applyBorder="1" applyAlignment="1">
      <alignment horizontal="center" vertical="center"/>
    </xf>
    <xf numFmtId="0" fontId="0" fillId="19" borderId="23" xfId="0" applyFill="1" applyBorder="1" applyAlignment="1">
      <alignment horizontal="center" vertical="center"/>
    </xf>
    <xf numFmtId="0" fontId="0" fillId="19" borderId="31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24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/>
    </xf>
    <xf numFmtId="0" fontId="0" fillId="22" borderId="18" xfId="0" applyFill="1" applyBorder="1" applyAlignment="1">
      <alignment horizontal="center" vertical="center"/>
    </xf>
    <xf numFmtId="0" fontId="0" fillId="22" borderId="21" xfId="0" applyFill="1" applyBorder="1" applyAlignment="1">
      <alignment horizontal="center" vertical="center"/>
    </xf>
    <xf numFmtId="0" fontId="0" fillId="22" borderId="19" xfId="0" applyFill="1" applyBorder="1" applyAlignment="1">
      <alignment horizontal="center" vertical="center"/>
    </xf>
    <xf numFmtId="0" fontId="0" fillId="19" borderId="18" xfId="0" applyFill="1" applyBorder="1" applyAlignment="1">
      <alignment horizontal="center" vertical="center"/>
    </xf>
    <xf numFmtId="0" fontId="0" fillId="19" borderId="21" xfId="0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0" fillId="22" borderId="42" xfId="0" applyFill="1" applyBorder="1" applyAlignment="1">
      <alignment horizontal="center" vertical="center"/>
    </xf>
    <xf numFmtId="0" fontId="0" fillId="22" borderId="43" xfId="0" applyFill="1" applyBorder="1" applyAlignment="1">
      <alignment horizontal="center" vertical="center"/>
    </xf>
    <xf numFmtId="0" fontId="0" fillId="22" borderId="44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22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10" fillId="14" borderId="4" xfId="0" applyFont="1" applyFill="1" applyBorder="1" applyAlignment="1">
      <alignment horizontal="center" vertical="center"/>
    </xf>
    <xf numFmtId="0" fontId="10" fillId="14" borderId="22" xfId="0" applyFont="1" applyFill="1" applyBorder="1" applyAlignment="1">
      <alignment horizontal="center" vertical="center"/>
    </xf>
    <xf numFmtId="0" fontId="10" fillId="14" borderId="7" xfId="0" applyFont="1" applyFill="1" applyBorder="1" applyAlignment="1">
      <alignment horizontal="center" vertical="center"/>
    </xf>
    <xf numFmtId="0" fontId="0" fillId="22" borderId="25" xfId="0" applyFill="1" applyBorder="1" applyAlignment="1">
      <alignment horizontal="center" vertical="center"/>
    </xf>
    <xf numFmtId="0" fontId="0" fillId="22" borderId="26" xfId="0" applyFill="1" applyBorder="1" applyAlignment="1">
      <alignment horizontal="center" vertical="center"/>
    </xf>
    <xf numFmtId="0" fontId="0" fillId="19" borderId="23" xfId="0" applyFill="1" applyBorder="1" applyAlignment="1">
      <alignment horizontal="center" vertical="center" wrapText="1"/>
    </xf>
    <xf numFmtId="0" fontId="0" fillId="19" borderId="29" xfId="0" applyFill="1" applyBorder="1" applyAlignment="1">
      <alignment horizontal="center" vertical="center" wrapText="1"/>
    </xf>
    <xf numFmtId="0" fontId="0" fillId="19" borderId="30" xfId="0" applyFill="1" applyBorder="1" applyAlignment="1">
      <alignment horizontal="center" vertical="center" wrapText="1"/>
    </xf>
    <xf numFmtId="0" fontId="0" fillId="22" borderId="4" xfId="0" applyFill="1" applyBorder="1" applyAlignment="1">
      <alignment horizontal="center" vertical="center" wrapText="1"/>
    </xf>
    <xf numFmtId="0" fontId="0" fillId="22" borderId="22" xfId="0" applyFill="1" applyBorder="1" applyAlignment="1">
      <alignment horizontal="center" vertical="center" wrapText="1"/>
    </xf>
    <xf numFmtId="0" fontId="0" fillId="22" borderId="7" xfId="0" applyFill="1" applyBorder="1" applyAlignment="1">
      <alignment horizontal="center" vertical="center" wrapText="1"/>
    </xf>
    <xf numFmtId="0" fontId="0" fillId="20" borderId="24" xfId="0" applyFill="1" applyBorder="1" applyAlignment="1">
      <alignment horizontal="center" vertical="center"/>
    </xf>
    <xf numFmtId="0" fontId="0" fillId="19" borderId="34" xfId="0" applyFill="1" applyBorder="1" applyAlignment="1">
      <alignment horizontal="center" vertical="center"/>
    </xf>
    <xf numFmtId="0" fontId="0" fillId="19" borderId="35" xfId="0" applyFill="1" applyBorder="1" applyAlignment="1">
      <alignment horizontal="center" vertical="center"/>
    </xf>
    <xf numFmtId="0" fontId="0" fillId="22" borderId="34" xfId="0" applyFill="1" applyBorder="1" applyAlignment="1">
      <alignment horizontal="center" vertical="center"/>
    </xf>
    <xf numFmtId="0" fontId="0" fillId="22" borderId="35" xfId="0" applyFill="1" applyBorder="1" applyAlignment="1">
      <alignment horizontal="center" vertical="center"/>
    </xf>
    <xf numFmtId="0" fontId="0" fillId="24" borderId="18" xfId="0" applyFill="1" applyBorder="1" applyAlignment="1">
      <alignment horizontal="center" vertical="center"/>
    </xf>
    <xf numFmtId="0" fontId="0" fillId="24" borderId="21" xfId="0" applyFill="1" applyBorder="1" applyAlignment="1">
      <alignment horizontal="center" vertical="center"/>
    </xf>
    <xf numFmtId="0" fontId="0" fillId="24" borderId="19" xfId="0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  <xf numFmtId="0" fontId="0" fillId="24" borderId="29" xfId="0" applyFill="1" applyBorder="1" applyAlignment="1">
      <alignment horizontal="center" vertical="center"/>
    </xf>
    <xf numFmtId="0" fontId="0" fillId="24" borderId="30" xfId="0" applyFill="1" applyBorder="1" applyAlignment="1">
      <alignment horizontal="center" vertical="center"/>
    </xf>
    <xf numFmtId="0" fontId="0" fillId="20" borderId="3" xfId="0" applyFill="1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0" fillId="20" borderId="38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37" xfId="0" applyFill="1" applyBorder="1" applyAlignment="1">
      <alignment horizontal="center" vertical="center"/>
    </xf>
    <xf numFmtId="0" fontId="0" fillId="20" borderId="40" xfId="0" applyFill="1" applyBorder="1" applyAlignment="1">
      <alignment horizontal="center" vertical="center"/>
    </xf>
    <xf numFmtId="0" fontId="0" fillId="19" borderId="8" xfId="0" applyFill="1" applyBorder="1" applyAlignment="1">
      <alignment horizontal="center" vertical="center"/>
    </xf>
    <xf numFmtId="0" fontId="0" fillId="19" borderId="10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40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22" borderId="38" xfId="0" applyFill="1" applyBorder="1" applyAlignment="1">
      <alignment horizontal="center" vertical="center"/>
    </xf>
    <xf numFmtId="0" fontId="0" fillId="22" borderId="5" xfId="0" applyFill="1" applyBorder="1" applyAlignment="1">
      <alignment horizontal="center" vertical="center"/>
    </xf>
    <xf numFmtId="0" fontId="0" fillId="22" borderId="37" xfId="0" applyFill="1" applyBorder="1" applyAlignment="1">
      <alignment horizontal="center" vertical="center"/>
    </xf>
    <xf numFmtId="0" fontId="0" fillId="22" borderId="40" xfId="0" applyFill="1" applyBorder="1" applyAlignment="1">
      <alignment horizontal="center" vertical="center"/>
    </xf>
  </cellXfs>
  <cellStyles count="2">
    <cellStyle name="常规" xfId="0" builtinId="0"/>
    <cellStyle name="常规_humber_system_stm_alloc_rules" xfId="1"/>
  </cellStyles>
  <dxfs count="5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66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 Config"/>
  <ax:ocxPr ax:name="Size" ax:value="18415;2302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ormat"/>
  <ax:ocxPr ax:name="Size" ax:value="4524;111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985629</xdr:colOff>
      <xdr:row>40</xdr:row>
      <xdr:rowOff>69573</xdr:rowOff>
    </xdr:from>
    <xdr:to>
      <xdr:col>15</xdr:col>
      <xdr:colOff>215348</xdr:colOff>
      <xdr:row>51</xdr:row>
      <xdr:rowOff>138733</xdr:rowOff>
    </xdr:to>
    <xdr:pic>
      <xdr:nvPicPr>
        <xdr:cNvPr id="5133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779564" y="7548769"/>
          <a:ext cx="6377610" cy="198244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595521</xdr:colOff>
      <xdr:row>73</xdr:row>
      <xdr:rowOff>159854</xdr:rowOff>
    </xdr:from>
    <xdr:to>
      <xdr:col>14</xdr:col>
      <xdr:colOff>267535</xdr:colOff>
      <xdr:row>100</xdr:row>
      <xdr:rowOff>90694</xdr:rowOff>
    </xdr:to>
    <xdr:pic>
      <xdr:nvPicPr>
        <xdr:cNvPr id="3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24912" y="14596441"/>
          <a:ext cx="5627210" cy="470162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419929</xdr:colOff>
      <xdr:row>102</xdr:row>
      <xdr:rowOff>107672</xdr:rowOff>
    </xdr:from>
    <xdr:to>
      <xdr:col>14</xdr:col>
      <xdr:colOff>1181098</xdr:colOff>
      <xdr:row>132</xdr:row>
      <xdr:rowOff>44310</xdr:rowOff>
    </xdr:to>
    <xdr:pic>
      <xdr:nvPicPr>
        <xdr:cNvPr id="5134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8213864" y="19836846"/>
          <a:ext cx="6716365" cy="515468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1048578</xdr:colOff>
      <xdr:row>0</xdr:row>
      <xdr:rowOff>281608</xdr:rowOff>
    </xdr:from>
    <xdr:to>
      <xdr:col>14</xdr:col>
      <xdr:colOff>1176130</xdr:colOff>
      <xdr:row>35</xdr:row>
      <xdr:rowOff>149087</xdr:rowOff>
    </xdr:to>
    <xdr:pic>
      <xdr:nvPicPr>
        <xdr:cNvPr id="512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8842513" y="281608"/>
          <a:ext cx="6082748" cy="647700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935936</xdr:colOff>
      <xdr:row>52</xdr:row>
      <xdr:rowOff>57978</xdr:rowOff>
    </xdr:from>
    <xdr:to>
      <xdr:col>16</xdr:col>
      <xdr:colOff>240196</xdr:colOff>
      <xdr:row>70</xdr:row>
      <xdr:rowOff>165652</xdr:rowOff>
    </xdr:to>
    <xdr:pic>
      <xdr:nvPicPr>
        <xdr:cNvPr id="7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8729871" y="9624391"/>
          <a:ext cx="7222434" cy="32385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M67"/>
  <sheetViews>
    <sheetView topLeftCell="A7" zoomScaleNormal="100" workbookViewId="0">
      <selection activeCell="A29" sqref="A29"/>
    </sheetView>
  </sheetViews>
  <sheetFormatPr defaultRowHeight="13.5"/>
  <cols>
    <col min="1" max="1" width="59.25" style="1" customWidth="1"/>
    <col min="2" max="2" width="9" style="1"/>
    <col min="3" max="3" width="8.75" style="2" customWidth="1"/>
    <col min="4" max="4" width="9" style="1"/>
    <col min="5" max="6" width="11" style="1" bestFit="1" customWidth="1"/>
    <col min="7" max="8" width="11.75" style="1" bestFit="1" customWidth="1"/>
    <col min="9" max="9" width="8.625" style="1" bestFit="1" customWidth="1"/>
    <col min="10" max="10" width="10.125" style="1" bestFit="1" customWidth="1"/>
    <col min="11" max="11" width="28.875" style="1" bestFit="1" customWidth="1"/>
    <col min="12" max="12" width="9" style="1"/>
    <col min="13" max="13" width="40.5" style="1" bestFit="1" customWidth="1"/>
    <col min="14" max="16384" width="9" style="1"/>
  </cols>
  <sheetData>
    <row r="1" spans="1:13" ht="16.5">
      <c r="A1" s="224" t="s">
        <v>168</v>
      </c>
      <c r="B1" s="225"/>
      <c r="C1" s="226"/>
      <c r="D1" s="225"/>
      <c r="E1" s="225"/>
      <c r="F1" s="225"/>
      <c r="G1" s="225"/>
      <c r="H1" s="225"/>
      <c r="I1" s="225"/>
      <c r="J1" s="225"/>
      <c r="K1" s="225"/>
      <c r="L1" s="225"/>
      <c r="M1" s="225"/>
    </row>
    <row r="2" spans="1:13" ht="13.5" customHeight="1">
      <c r="A2" s="264" t="s">
        <v>169</v>
      </c>
      <c r="B2" s="264" t="s">
        <v>170</v>
      </c>
      <c r="C2" s="266" t="s">
        <v>171</v>
      </c>
      <c r="D2" s="265" t="s">
        <v>172</v>
      </c>
      <c r="E2" s="265"/>
      <c r="F2" s="265"/>
      <c r="G2" s="265" t="s">
        <v>173</v>
      </c>
      <c r="H2" s="265"/>
      <c r="I2" s="265" t="s">
        <v>174</v>
      </c>
      <c r="J2" s="265" t="s">
        <v>175</v>
      </c>
      <c r="K2" s="227"/>
      <c r="L2" s="227"/>
      <c r="M2" s="265" t="s">
        <v>176</v>
      </c>
    </row>
    <row r="3" spans="1:13" ht="16.5">
      <c r="A3" s="264"/>
      <c r="B3" s="264"/>
      <c r="C3" s="266"/>
      <c r="D3" s="265"/>
      <c r="E3" s="228" t="s">
        <v>177</v>
      </c>
      <c r="F3" s="228" t="s">
        <v>178</v>
      </c>
      <c r="G3" s="228" t="s">
        <v>547</v>
      </c>
      <c r="H3" s="228" t="s">
        <v>179</v>
      </c>
      <c r="I3" s="265"/>
      <c r="J3" s="265"/>
      <c r="K3" s="227" t="s">
        <v>180</v>
      </c>
      <c r="L3" s="227" t="s">
        <v>181</v>
      </c>
      <c r="M3" s="265"/>
    </row>
    <row r="4" spans="1:13" ht="16.5">
      <c r="A4" s="229" t="s">
        <v>182</v>
      </c>
      <c r="B4" s="240">
        <v>4094</v>
      </c>
      <c r="C4" s="240">
        <v>4094</v>
      </c>
      <c r="D4" s="241"/>
      <c r="E4" s="241"/>
      <c r="F4" s="241"/>
      <c r="G4" s="241">
        <v>1</v>
      </c>
      <c r="H4" s="241">
        <v>0</v>
      </c>
      <c r="I4" s="241"/>
      <c r="J4" s="241"/>
      <c r="K4" s="241"/>
      <c r="L4" s="241"/>
      <c r="M4" s="230"/>
    </row>
    <row r="5" spans="1:13" ht="16.5">
      <c r="A5" s="231" t="s">
        <v>183</v>
      </c>
      <c r="B5" s="240">
        <v>2048</v>
      </c>
      <c r="C5" s="240">
        <v>512</v>
      </c>
      <c r="D5" s="241">
        <v>0</v>
      </c>
      <c r="E5" s="241"/>
      <c r="F5" s="241"/>
      <c r="G5" s="241">
        <v>1</v>
      </c>
      <c r="H5" s="241">
        <v>0</v>
      </c>
      <c r="I5" s="241"/>
      <c r="J5" s="241"/>
      <c r="K5" s="241"/>
      <c r="L5" s="241"/>
      <c r="M5" s="230"/>
    </row>
    <row r="6" spans="1:13" ht="16.5">
      <c r="A6" s="231" t="s">
        <v>184</v>
      </c>
      <c r="B6" s="240">
        <v>0</v>
      </c>
      <c r="C6" s="240"/>
      <c r="D6" s="241">
        <v>0</v>
      </c>
      <c r="E6" s="241"/>
      <c r="F6" s="241"/>
      <c r="G6" s="241">
        <v>1</v>
      </c>
      <c r="H6" s="241">
        <v>1</v>
      </c>
      <c r="I6" s="241"/>
      <c r="J6" s="241"/>
      <c r="K6" s="241"/>
      <c r="L6" s="241"/>
      <c r="M6" s="230"/>
    </row>
    <row r="7" spans="1:13" ht="16.5">
      <c r="A7" s="232" t="s">
        <v>185</v>
      </c>
      <c r="B7" s="240">
        <v>24576</v>
      </c>
      <c r="C7" s="240">
        <v>8192</v>
      </c>
      <c r="D7" s="241">
        <v>0</v>
      </c>
      <c r="E7" s="241">
        <v>1</v>
      </c>
      <c r="F7" s="241"/>
      <c r="G7" s="241"/>
      <c r="H7" s="241"/>
      <c r="I7" s="241"/>
      <c r="J7" s="241"/>
      <c r="K7" s="241"/>
      <c r="L7" s="241"/>
      <c r="M7" s="230"/>
    </row>
    <row r="8" spans="1:13" ht="16.5">
      <c r="A8" s="232" t="s">
        <v>186</v>
      </c>
      <c r="B8" s="240">
        <v>1024</v>
      </c>
      <c r="C8" s="240"/>
      <c r="D8" s="241">
        <v>1</v>
      </c>
      <c r="E8" s="241">
        <v>0</v>
      </c>
      <c r="F8" s="241"/>
      <c r="G8" s="241"/>
      <c r="H8" s="241"/>
      <c r="I8" s="241"/>
      <c r="J8" s="241"/>
      <c r="K8" s="241"/>
      <c r="L8" s="241">
        <v>1</v>
      </c>
      <c r="M8" s="230"/>
    </row>
    <row r="9" spans="1:13" ht="16.5">
      <c r="A9" s="232" t="s">
        <v>187</v>
      </c>
      <c r="B9" s="240">
        <v>64</v>
      </c>
      <c r="C9" s="240"/>
      <c r="D9" s="241">
        <v>0</v>
      </c>
      <c r="E9" s="241"/>
      <c r="F9" s="241"/>
      <c r="G9" s="241"/>
      <c r="H9" s="241"/>
      <c r="I9" s="241"/>
      <c r="J9" s="241"/>
      <c r="K9" s="241"/>
      <c r="L9" s="241"/>
      <c r="M9" s="230"/>
    </row>
    <row r="10" spans="1:13" ht="16.5">
      <c r="A10" s="233" t="s">
        <v>188</v>
      </c>
      <c r="B10" s="240">
        <v>2048</v>
      </c>
      <c r="C10" s="240">
        <v>512</v>
      </c>
      <c r="D10" s="241">
        <v>0</v>
      </c>
      <c r="E10" s="241"/>
      <c r="F10" s="241"/>
      <c r="G10" s="241">
        <v>1</v>
      </c>
      <c r="H10" s="241"/>
      <c r="I10" s="241"/>
      <c r="J10" s="241"/>
      <c r="K10" s="241"/>
      <c r="L10" s="241"/>
      <c r="M10" s="230"/>
    </row>
    <row r="11" spans="1:13" ht="16.5">
      <c r="A11" s="233" t="s">
        <v>189</v>
      </c>
      <c r="B11" s="240">
        <v>2048</v>
      </c>
      <c r="C11" s="240">
        <v>2</v>
      </c>
      <c r="D11" s="241"/>
      <c r="E11" s="241"/>
      <c r="F11" s="241"/>
      <c r="G11" s="241"/>
      <c r="H11" s="241">
        <v>1</v>
      </c>
      <c r="I11" s="241"/>
      <c r="J11" s="241"/>
      <c r="K11" s="241"/>
      <c r="L11" s="241"/>
      <c r="M11" s="230"/>
    </row>
    <row r="12" spans="1:13" ht="16.5">
      <c r="A12" s="233" t="s">
        <v>190</v>
      </c>
      <c r="B12" s="240">
        <v>0</v>
      </c>
      <c r="C12" s="240">
        <v>0</v>
      </c>
      <c r="D12" s="241"/>
      <c r="E12" s="241"/>
      <c r="F12" s="241">
        <v>0</v>
      </c>
      <c r="G12" s="241"/>
      <c r="H12" s="241"/>
      <c r="I12" s="241"/>
      <c r="J12" s="241"/>
      <c r="K12" s="241"/>
      <c r="L12" s="241"/>
      <c r="M12" s="230"/>
    </row>
    <row r="13" spans="1:13" ht="16.5">
      <c r="A13" s="234" t="s">
        <v>191</v>
      </c>
      <c r="B13" s="240">
        <v>1024</v>
      </c>
      <c r="C13" s="240">
        <v>1024</v>
      </c>
      <c r="D13" s="241">
        <v>0</v>
      </c>
      <c r="E13" s="241"/>
      <c r="F13" s="241"/>
      <c r="G13" s="241">
        <v>1</v>
      </c>
      <c r="H13" s="241"/>
      <c r="I13" s="241"/>
      <c r="J13" s="241"/>
      <c r="K13" s="241"/>
      <c r="L13" s="241"/>
      <c r="M13" s="230"/>
    </row>
    <row r="14" spans="1:13" ht="16.5">
      <c r="A14" s="234" t="s">
        <v>651</v>
      </c>
      <c r="B14" s="240">
        <v>0</v>
      </c>
      <c r="C14" s="240">
        <v>0</v>
      </c>
      <c r="D14" s="241"/>
      <c r="E14" s="241"/>
      <c r="F14" s="241"/>
      <c r="G14" s="241"/>
      <c r="H14" s="241"/>
      <c r="I14" s="241"/>
      <c r="J14" s="241">
        <v>4</v>
      </c>
      <c r="K14" s="241"/>
      <c r="L14" s="241">
        <v>1</v>
      </c>
      <c r="M14" s="230"/>
    </row>
    <row r="15" spans="1:13" ht="16.5">
      <c r="A15" s="234" t="s">
        <v>192</v>
      </c>
      <c r="B15" s="240">
        <v>4096</v>
      </c>
      <c r="C15" s="240">
        <v>4096</v>
      </c>
      <c r="D15" s="241">
        <v>1</v>
      </c>
      <c r="E15" s="241">
        <v>1</v>
      </c>
      <c r="F15" s="241"/>
      <c r="G15" s="241"/>
      <c r="H15" s="241"/>
      <c r="I15" s="241"/>
      <c r="J15" s="241">
        <v>1</v>
      </c>
      <c r="K15" s="241"/>
      <c r="L15" s="241">
        <v>1</v>
      </c>
      <c r="M15" s="230"/>
    </row>
    <row r="16" spans="1:13" ht="16.5">
      <c r="A16" s="234" t="s">
        <v>193</v>
      </c>
      <c r="B16" s="240">
        <v>256</v>
      </c>
      <c r="C16" s="240">
        <v>0</v>
      </c>
      <c r="D16" s="241"/>
      <c r="E16" s="241"/>
      <c r="F16" s="241"/>
      <c r="G16" s="241"/>
      <c r="H16" s="241"/>
      <c r="I16" s="241"/>
      <c r="J16" s="241"/>
      <c r="K16" s="241">
        <v>1</v>
      </c>
      <c r="L16" s="241"/>
      <c r="M16" s="230"/>
    </row>
    <row r="17" spans="1:13" ht="16.5">
      <c r="A17" s="234" t="s">
        <v>194</v>
      </c>
      <c r="B17" s="240">
        <v>4096</v>
      </c>
      <c r="C17" s="240">
        <v>4096</v>
      </c>
      <c r="D17" s="241">
        <v>1</v>
      </c>
      <c r="E17" s="241">
        <v>1</v>
      </c>
      <c r="F17" s="241"/>
      <c r="G17" s="241"/>
      <c r="H17" s="241"/>
      <c r="I17" s="241"/>
      <c r="J17" s="241">
        <v>1</v>
      </c>
      <c r="K17" s="241"/>
      <c r="L17" s="241"/>
      <c r="M17" s="230"/>
    </row>
    <row r="18" spans="1:13" ht="16.5">
      <c r="A18" s="234" t="s">
        <v>195</v>
      </c>
      <c r="B18" s="240">
        <v>1024</v>
      </c>
      <c r="C18" s="240">
        <v>1024</v>
      </c>
      <c r="D18" s="241">
        <v>1</v>
      </c>
      <c r="E18" s="241">
        <v>2</v>
      </c>
      <c r="F18" s="241"/>
      <c r="G18" s="241"/>
      <c r="H18" s="241">
        <v>1</v>
      </c>
      <c r="I18" s="241"/>
      <c r="J18" s="241">
        <v>1</v>
      </c>
      <c r="K18" s="241"/>
      <c r="L18" s="241"/>
      <c r="M18" s="230" t="s">
        <v>299</v>
      </c>
    </row>
    <row r="19" spans="1:13" ht="16.5">
      <c r="A19" s="234" t="s">
        <v>652</v>
      </c>
      <c r="B19" s="240">
        <v>0</v>
      </c>
      <c r="C19" s="240">
        <v>0</v>
      </c>
      <c r="D19" s="241">
        <v>1</v>
      </c>
      <c r="E19" s="241">
        <v>2</v>
      </c>
      <c r="F19" s="241">
        <v>1</v>
      </c>
      <c r="G19" s="241"/>
      <c r="H19" s="241"/>
      <c r="I19" s="241">
        <v>1</v>
      </c>
      <c r="J19" s="241">
        <v>1</v>
      </c>
      <c r="K19" s="241"/>
      <c r="L19" s="241"/>
      <c r="M19" s="230"/>
    </row>
    <row r="20" spans="1:13" ht="16.5">
      <c r="A20" s="234" t="s">
        <v>196</v>
      </c>
      <c r="B20" s="240">
        <v>3072</v>
      </c>
      <c r="C20" s="240">
        <v>3072</v>
      </c>
      <c r="D20" s="241">
        <v>1</v>
      </c>
      <c r="E20" s="241">
        <v>2</v>
      </c>
      <c r="F20" s="241"/>
      <c r="G20" s="241"/>
      <c r="H20" s="241"/>
      <c r="I20" s="241"/>
      <c r="J20" s="241">
        <v>1</v>
      </c>
      <c r="K20" s="241"/>
      <c r="L20" s="241"/>
      <c r="M20" s="230"/>
    </row>
    <row r="21" spans="1:13" ht="16.5">
      <c r="A21" s="234" t="s">
        <v>197</v>
      </c>
      <c r="B21" s="240">
        <v>2048</v>
      </c>
      <c r="C21" s="240">
        <v>2048</v>
      </c>
      <c r="D21" s="241">
        <v>1</v>
      </c>
      <c r="E21" s="241">
        <v>1</v>
      </c>
      <c r="F21" s="241"/>
      <c r="G21" s="241"/>
      <c r="H21" s="241">
        <v>1</v>
      </c>
      <c r="I21" s="241"/>
      <c r="J21" s="241"/>
      <c r="K21" s="241"/>
      <c r="L21" s="241"/>
      <c r="M21" s="230"/>
    </row>
    <row r="22" spans="1:13" ht="16.5">
      <c r="A22" s="234" t="s">
        <v>198</v>
      </c>
      <c r="B22" s="240">
        <v>6144</v>
      </c>
      <c r="C22" s="240">
        <v>6144</v>
      </c>
      <c r="D22" s="241">
        <v>1</v>
      </c>
      <c r="E22" s="241">
        <v>1</v>
      </c>
      <c r="F22" s="241"/>
      <c r="G22" s="241"/>
      <c r="H22" s="241"/>
      <c r="I22" s="241"/>
      <c r="J22" s="241"/>
      <c r="K22" s="241"/>
      <c r="L22" s="241"/>
      <c r="M22" s="230"/>
    </row>
    <row r="23" spans="1:13" ht="16.5">
      <c r="A23" s="235" t="s">
        <v>199</v>
      </c>
      <c r="B23" s="242">
        <v>0</v>
      </c>
      <c r="C23" s="242">
        <v>0</v>
      </c>
      <c r="D23" s="241">
        <v>0</v>
      </c>
      <c r="E23" s="241">
        <v>2</v>
      </c>
      <c r="F23" s="241"/>
      <c r="G23" s="241"/>
      <c r="H23" s="241"/>
      <c r="I23" s="241"/>
      <c r="J23" s="241"/>
      <c r="K23" s="241"/>
      <c r="L23" s="241"/>
      <c r="M23" s="268"/>
    </row>
    <row r="24" spans="1:13" ht="16.5">
      <c r="A24" s="235" t="s">
        <v>200</v>
      </c>
      <c r="B24" s="240">
        <v>0</v>
      </c>
      <c r="C24" s="240">
        <v>0</v>
      </c>
      <c r="D24" s="241">
        <v>0</v>
      </c>
      <c r="E24" s="241">
        <v>0</v>
      </c>
      <c r="F24" s="241"/>
      <c r="G24" s="241"/>
      <c r="H24" s="241"/>
      <c r="I24" s="241"/>
      <c r="J24" s="241"/>
      <c r="K24" s="241"/>
      <c r="L24" s="241"/>
      <c r="M24" s="268"/>
    </row>
    <row r="25" spans="1:13" ht="16.5">
      <c r="A25" s="235" t="s">
        <v>201</v>
      </c>
      <c r="B25" s="240"/>
      <c r="C25" s="240"/>
      <c r="D25" s="241">
        <v>0</v>
      </c>
      <c r="E25" s="241"/>
      <c r="F25" s="241"/>
      <c r="G25" s="241">
        <v>0</v>
      </c>
      <c r="H25" s="241">
        <v>1</v>
      </c>
      <c r="I25" s="241"/>
      <c r="J25" s="241"/>
      <c r="K25" s="241"/>
      <c r="L25" s="241"/>
      <c r="M25" s="230"/>
    </row>
    <row r="26" spans="1:13" ht="16.5">
      <c r="A26" s="236" t="s">
        <v>202</v>
      </c>
      <c r="B26" s="240">
        <v>0</v>
      </c>
      <c r="C26" s="240"/>
      <c r="D26" s="241"/>
      <c r="E26" s="241"/>
      <c r="F26" s="241"/>
      <c r="G26" s="241">
        <v>0</v>
      </c>
      <c r="H26" s="241">
        <v>1</v>
      </c>
      <c r="I26" s="241"/>
      <c r="J26" s="241"/>
      <c r="K26" s="241"/>
      <c r="L26" s="241"/>
      <c r="M26" s="237"/>
    </row>
    <row r="27" spans="1:13" ht="16.5">
      <c r="A27" s="236" t="s">
        <v>203</v>
      </c>
      <c r="B27" s="240">
        <v>0</v>
      </c>
      <c r="C27" s="240"/>
      <c r="D27" s="241"/>
      <c r="E27" s="241"/>
      <c r="F27" s="241"/>
      <c r="G27" s="241"/>
      <c r="H27" s="241"/>
      <c r="I27" s="241"/>
      <c r="J27" s="241"/>
      <c r="K27" s="241"/>
      <c r="L27" s="241"/>
      <c r="M27" s="237"/>
    </row>
    <row r="28" spans="1:13" ht="16.5">
      <c r="A28" s="233" t="s">
        <v>204</v>
      </c>
      <c r="B28" s="240">
        <v>0</v>
      </c>
      <c r="C28" s="240"/>
      <c r="D28" s="241">
        <v>0</v>
      </c>
      <c r="E28" s="241"/>
      <c r="F28" s="241"/>
      <c r="G28" s="241">
        <v>0</v>
      </c>
      <c r="H28" s="241">
        <v>1</v>
      </c>
      <c r="I28" s="241"/>
      <c r="J28" s="241"/>
      <c r="K28" s="241"/>
      <c r="L28" s="241"/>
      <c r="M28" s="237"/>
    </row>
    <row r="29" spans="1:13" ht="16.5">
      <c r="A29" s="233" t="s">
        <v>205</v>
      </c>
      <c r="B29" s="240">
        <v>0</v>
      </c>
      <c r="C29" s="240"/>
      <c r="D29" s="241"/>
      <c r="E29" s="241"/>
      <c r="F29" s="241"/>
      <c r="G29" s="241"/>
      <c r="H29" s="241"/>
      <c r="I29" s="241"/>
      <c r="J29" s="241"/>
      <c r="K29" s="241"/>
      <c r="L29" s="241"/>
      <c r="M29" s="237"/>
    </row>
    <row r="30" spans="1:13" ht="33">
      <c r="A30" s="232" t="s">
        <v>206</v>
      </c>
      <c r="B30" s="240">
        <v>2048</v>
      </c>
      <c r="C30" s="240"/>
      <c r="D30" s="241">
        <v>1</v>
      </c>
      <c r="E30" s="241">
        <v>1</v>
      </c>
      <c r="F30" s="241"/>
      <c r="G30" s="241"/>
      <c r="H30" s="241"/>
      <c r="I30" s="241"/>
      <c r="J30" s="241">
        <v>2</v>
      </c>
      <c r="K30" s="241"/>
      <c r="L30" s="241"/>
      <c r="M30" s="237" t="s">
        <v>300</v>
      </c>
    </row>
    <row r="31" spans="1:13" ht="16.5">
      <c r="A31" s="232" t="s">
        <v>207</v>
      </c>
      <c r="B31" s="240">
        <v>0</v>
      </c>
      <c r="C31" s="240"/>
      <c r="D31" s="241">
        <v>1</v>
      </c>
      <c r="E31" s="241">
        <v>1</v>
      </c>
      <c r="F31" s="241"/>
      <c r="G31" s="241"/>
      <c r="H31" s="241"/>
      <c r="I31" s="241">
        <v>0</v>
      </c>
      <c r="J31" s="241">
        <v>2</v>
      </c>
      <c r="K31" s="241"/>
      <c r="L31" s="241">
        <v>1</v>
      </c>
      <c r="M31" s="237"/>
    </row>
    <row r="32" spans="1:13" ht="16.5">
      <c r="A32" s="232" t="s">
        <v>208</v>
      </c>
      <c r="B32" s="240">
        <v>0</v>
      </c>
      <c r="C32" s="240"/>
      <c r="D32" s="241">
        <v>1</v>
      </c>
      <c r="E32" s="241">
        <v>1</v>
      </c>
      <c r="F32" s="241"/>
      <c r="G32" s="241"/>
      <c r="H32" s="241"/>
      <c r="I32" s="241">
        <v>0</v>
      </c>
      <c r="J32" s="241">
        <v>4</v>
      </c>
      <c r="K32" s="241"/>
      <c r="L32" s="241">
        <v>1</v>
      </c>
      <c r="M32" s="237"/>
    </row>
    <row r="33" spans="1:13" ht="16.5">
      <c r="A33" s="232" t="s">
        <v>209</v>
      </c>
      <c r="B33" s="240">
        <v>0</v>
      </c>
      <c r="C33" s="240"/>
      <c r="D33" s="241">
        <v>1</v>
      </c>
      <c r="E33" s="241">
        <v>1</v>
      </c>
      <c r="F33" s="241"/>
      <c r="G33" s="241"/>
      <c r="H33" s="241"/>
      <c r="I33" s="241">
        <v>0</v>
      </c>
      <c r="J33" s="241">
        <v>1</v>
      </c>
      <c r="K33" s="241"/>
      <c r="L33" s="241">
        <v>1</v>
      </c>
      <c r="M33" s="237" t="s">
        <v>301</v>
      </c>
    </row>
    <row r="34" spans="1:13" ht="16.5">
      <c r="A34" s="232" t="s">
        <v>210</v>
      </c>
      <c r="B34" s="240">
        <v>0</v>
      </c>
      <c r="C34" s="240"/>
      <c r="D34" s="241">
        <v>1</v>
      </c>
      <c r="E34" s="241">
        <v>1</v>
      </c>
      <c r="F34" s="241"/>
      <c r="G34" s="241"/>
      <c r="H34" s="241"/>
      <c r="I34" s="241"/>
      <c r="J34" s="241">
        <v>2</v>
      </c>
      <c r="K34" s="241"/>
      <c r="L34" s="241">
        <v>1</v>
      </c>
      <c r="M34" s="237"/>
    </row>
    <row r="35" spans="1:13" ht="16.5">
      <c r="A35" s="232" t="s">
        <v>211</v>
      </c>
      <c r="B35" s="240">
        <v>0</v>
      </c>
      <c r="C35" s="240"/>
      <c r="D35" s="241">
        <v>1</v>
      </c>
      <c r="E35" s="241">
        <v>1</v>
      </c>
      <c r="F35" s="241"/>
      <c r="G35" s="241"/>
      <c r="H35" s="241"/>
      <c r="I35" s="241">
        <v>0</v>
      </c>
      <c r="J35" s="241">
        <v>2</v>
      </c>
      <c r="K35" s="241"/>
      <c r="L35" s="241">
        <v>1</v>
      </c>
      <c r="M35" s="237"/>
    </row>
    <row r="36" spans="1:13" ht="16.5">
      <c r="A36" s="232" t="s">
        <v>212</v>
      </c>
      <c r="B36" s="240">
        <v>0</v>
      </c>
      <c r="C36" s="240"/>
      <c r="D36" s="241"/>
      <c r="E36" s="241">
        <v>1</v>
      </c>
      <c r="F36" s="241"/>
      <c r="G36" s="241"/>
      <c r="H36" s="241"/>
      <c r="I36" s="241">
        <v>1</v>
      </c>
      <c r="J36" s="241"/>
      <c r="K36" s="241"/>
      <c r="L36" s="241"/>
      <c r="M36" s="237"/>
    </row>
    <row r="37" spans="1:13" ht="16.5">
      <c r="A37" s="232" t="s">
        <v>213</v>
      </c>
      <c r="B37" s="240">
        <v>0</v>
      </c>
      <c r="C37" s="240"/>
      <c r="D37" s="241">
        <v>1</v>
      </c>
      <c r="E37" s="241">
        <v>1</v>
      </c>
      <c r="F37" s="241"/>
      <c r="G37" s="241"/>
      <c r="H37" s="241"/>
      <c r="I37" s="241">
        <v>0</v>
      </c>
      <c r="J37" s="241">
        <v>4</v>
      </c>
      <c r="K37" s="241"/>
      <c r="L37" s="241">
        <v>1</v>
      </c>
      <c r="M37" s="237"/>
    </row>
    <row r="38" spans="1:13" ht="16.5">
      <c r="A38" s="232" t="s">
        <v>214</v>
      </c>
      <c r="B38" s="240">
        <v>0</v>
      </c>
      <c r="C38" s="240"/>
      <c r="D38" s="241"/>
      <c r="E38" s="241">
        <v>1</v>
      </c>
      <c r="F38" s="241"/>
      <c r="G38" s="241"/>
      <c r="H38" s="241"/>
      <c r="I38" s="241">
        <v>1</v>
      </c>
      <c r="J38" s="241"/>
      <c r="K38" s="241"/>
      <c r="L38" s="241"/>
      <c r="M38" s="237"/>
    </row>
    <row r="39" spans="1:13" ht="16.5">
      <c r="A39" s="238" t="s">
        <v>215</v>
      </c>
      <c r="B39" s="240">
        <v>0</v>
      </c>
      <c r="C39" s="240"/>
      <c r="D39" s="241">
        <v>0</v>
      </c>
      <c r="E39" s="241">
        <v>1</v>
      </c>
      <c r="F39" s="241"/>
      <c r="G39" s="241"/>
      <c r="H39" s="241"/>
      <c r="I39" s="241"/>
      <c r="J39" s="241">
        <v>2</v>
      </c>
      <c r="K39" s="241"/>
      <c r="L39" s="241"/>
      <c r="M39" s="237"/>
    </row>
    <row r="40" spans="1:13" ht="16.5">
      <c r="A40" s="238" t="s">
        <v>216</v>
      </c>
      <c r="B40" s="240">
        <v>0</v>
      </c>
      <c r="C40" s="240"/>
      <c r="D40" s="241">
        <v>0</v>
      </c>
      <c r="E40" s="241">
        <v>1</v>
      </c>
      <c r="F40" s="241"/>
      <c r="G40" s="241"/>
      <c r="H40" s="241"/>
      <c r="I40" s="241">
        <v>2</v>
      </c>
      <c r="J40" s="241"/>
      <c r="K40" s="241"/>
      <c r="L40" s="241"/>
      <c r="M40" s="237"/>
    </row>
    <row r="41" spans="1:13" ht="16.5">
      <c r="A41" s="238" t="s">
        <v>217</v>
      </c>
      <c r="B41" s="240">
        <v>0</v>
      </c>
      <c r="C41" s="240"/>
      <c r="D41" s="241"/>
      <c r="E41" s="241"/>
      <c r="F41" s="241"/>
      <c r="G41" s="241"/>
      <c r="H41" s="241"/>
      <c r="I41" s="241">
        <v>2</v>
      </c>
      <c r="J41" s="241"/>
      <c r="K41" s="241"/>
      <c r="L41" s="241"/>
      <c r="M41" s="237"/>
    </row>
    <row r="42" spans="1:13" ht="16.5">
      <c r="A42" s="238" t="s">
        <v>218</v>
      </c>
      <c r="B42" s="240">
        <v>0</v>
      </c>
      <c r="C42" s="240"/>
      <c r="D42" s="241">
        <v>0</v>
      </c>
      <c r="E42" s="241">
        <v>1</v>
      </c>
      <c r="F42" s="241"/>
      <c r="G42" s="241"/>
      <c r="H42" s="241"/>
      <c r="I42" s="241">
        <v>2</v>
      </c>
      <c r="J42" s="241">
        <v>2</v>
      </c>
      <c r="K42" s="241"/>
      <c r="L42" s="241"/>
      <c r="M42" s="237"/>
    </row>
    <row r="43" spans="1:13" ht="16.5">
      <c r="A43" s="238" t="s">
        <v>219</v>
      </c>
      <c r="B43" s="240">
        <v>0</v>
      </c>
      <c r="C43" s="240"/>
      <c r="D43" s="241"/>
      <c r="E43" s="241"/>
      <c r="F43" s="241"/>
      <c r="G43" s="241"/>
      <c r="H43" s="241"/>
      <c r="I43" s="241">
        <v>2</v>
      </c>
      <c r="J43" s="241"/>
      <c r="K43" s="241"/>
      <c r="L43" s="241"/>
      <c r="M43" s="237"/>
    </row>
    <row r="44" spans="1:13" ht="16.5">
      <c r="A44" s="239" t="s">
        <v>220</v>
      </c>
      <c r="B44" s="240">
        <v>64</v>
      </c>
      <c r="C44" s="240"/>
      <c r="D44" s="241">
        <v>0</v>
      </c>
      <c r="E44" s="241">
        <v>1</v>
      </c>
      <c r="F44" s="241"/>
      <c r="G44" s="241"/>
      <c r="H44" s="241"/>
      <c r="I44" s="241"/>
      <c r="J44" s="241"/>
      <c r="K44" s="241"/>
      <c r="L44" s="241"/>
      <c r="M44" s="237"/>
    </row>
    <row r="45" spans="1:13" ht="16.5">
      <c r="A45" s="239" t="s">
        <v>221</v>
      </c>
      <c r="B45" s="240">
        <v>64</v>
      </c>
      <c r="C45" s="240"/>
      <c r="D45" s="241">
        <v>1</v>
      </c>
      <c r="E45" s="241"/>
      <c r="F45" s="241"/>
      <c r="G45" s="241"/>
      <c r="H45" s="241"/>
      <c r="I45" s="241">
        <v>0</v>
      </c>
      <c r="J45" s="241"/>
      <c r="K45" s="241"/>
      <c r="L45" s="241"/>
      <c r="M45" s="237"/>
    </row>
    <row r="46" spans="1:13" ht="16.5">
      <c r="A46" s="239" t="s">
        <v>222</v>
      </c>
      <c r="B46" s="240">
        <v>128</v>
      </c>
      <c r="C46" s="240"/>
      <c r="D46" s="241">
        <v>1</v>
      </c>
      <c r="E46" s="241"/>
      <c r="F46" s="241"/>
      <c r="G46" s="241"/>
      <c r="H46" s="241"/>
      <c r="I46" s="241"/>
      <c r="J46" s="241"/>
      <c r="K46" s="241"/>
      <c r="L46" s="241"/>
      <c r="M46" s="237"/>
    </row>
    <row r="47" spans="1:13" ht="33">
      <c r="A47" s="239" t="s">
        <v>223</v>
      </c>
      <c r="B47" s="240">
        <v>48</v>
      </c>
      <c r="C47" s="240"/>
      <c r="D47" s="241">
        <v>0</v>
      </c>
      <c r="E47" s="241"/>
      <c r="F47" s="241"/>
      <c r="G47" s="241"/>
      <c r="H47" s="241"/>
      <c r="I47" s="241"/>
      <c r="J47" s="241"/>
      <c r="K47" s="241"/>
      <c r="L47" s="241"/>
      <c r="M47" s="237" t="s">
        <v>224</v>
      </c>
    </row>
    <row r="48" spans="1:13" ht="16.5">
      <c r="A48" s="222"/>
      <c r="B48" s="243"/>
      <c r="C48" s="243"/>
      <c r="D48" s="244"/>
      <c r="E48" s="244"/>
      <c r="F48" s="244"/>
      <c r="G48" s="244"/>
      <c r="H48" s="244"/>
      <c r="I48" s="244"/>
      <c r="J48" s="244"/>
      <c r="K48" s="244"/>
      <c r="L48" s="244"/>
      <c r="M48" s="223"/>
    </row>
    <row r="49" spans="1:13" ht="16.5">
      <c r="A49" s="245" t="s">
        <v>225</v>
      </c>
      <c r="B49" s="243">
        <f>E51</f>
        <v>32768</v>
      </c>
      <c r="C49" s="243">
        <v>19584</v>
      </c>
      <c r="D49" s="267"/>
      <c r="E49" s="267"/>
      <c r="F49" s="267"/>
      <c r="G49" s="267"/>
      <c r="H49" s="267"/>
      <c r="I49" s="267"/>
      <c r="J49" s="267"/>
      <c r="K49" s="246"/>
      <c r="L49" s="246"/>
      <c r="M49" s="223"/>
    </row>
    <row r="50" spans="1:13" ht="16.5">
      <c r="A50" s="247" t="s">
        <v>226</v>
      </c>
      <c r="B50" s="243">
        <f>G51*2</f>
        <v>12284</v>
      </c>
      <c r="C50" s="243">
        <v>5632</v>
      </c>
      <c r="D50" s="267"/>
      <c r="E50" s="267"/>
      <c r="F50" s="267"/>
      <c r="G50" s="267"/>
      <c r="H50" s="267"/>
      <c r="I50" s="267"/>
      <c r="J50" s="267"/>
      <c r="K50" s="246"/>
      <c r="L50" s="246"/>
      <c r="M50" s="223"/>
    </row>
    <row r="51" spans="1:13" ht="16.5">
      <c r="A51" s="248" t="s">
        <v>227</v>
      </c>
      <c r="B51" s="246"/>
      <c r="C51" s="243"/>
      <c r="D51" s="246">
        <f>SUMPRODUCT(D4:D47, C4:C47)</f>
        <v>20480</v>
      </c>
      <c r="E51" s="246">
        <f>MAX(1024,SUMPRODUCT(E4:E47, C4:C47))</f>
        <v>32768</v>
      </c>
      <c r="F51" s="246">
        <f>SUMPRODUCT(F4:F47, C4:C47)</f>
        <v>0</v>
      </c>
      <c r="G51" s="246">
        <f>MAX(1024,SUMPRODUCT(G4:G47, C4:C47))</f>
        <v>6142</v>
      </c>
      <c r="H51" s="246">
        <f>SUMPRODUCT(H4:H47, C4:C47)</f>
        <v>3074</v>
      </c>
      <c r="I51" s="246">
        <f>SUMPRODUCT(I4:I47, C4:C47)</f>
        <v>0</v>
      </c>
      <c r="J51" s="246">
        <f>SUMPRODUCT(J4:J47, C4:C47)</f>
        <v>12288</v>
      </c>
      <c r="K51" s="246">
        <f>SUMPRODUCT(K4:K47, C4:C47)</f>
        <v>0</v>
      </c>
      <c r="L51" s="246">
        <f>SUMPRODUCT(L4:L47, C4:C47)</f>
        <v>4096</v>
      </c>
      <c r="M51" s="223"/>
    </row>
    <row r="52" spans="1:13" ht="16.5">
      <c r="A52" s="219"/>
      <c r="B52" s="219"/>
      <c r="C52" s="249"/>
      <c r="D52" s="219"/>
      <c r="E52" s="219"/>
      <c r="F52" s="219"/>
      <c r="G52" s="219"/>
      <c r="H52" s="219"/>
      <c r="I52" s="219"/>
      <c r="J52" s="219"/>
      <c r="K52" s="219"/>
      <c r="L52" s="219"/>
      <c r="M52" s="219"/>
    </row>
    <row r="53" spans="1:13" ht="16.5">
      <c r="A53" s="250" t="s">
        <v>228</v>
      </c>
      <c r="B53" s="251"/>
      <c r="C53" s="249"/>
      <c r="D53" s="219"/>
      <c r="E53" s="219"/>
      <c r="F53" s="219"/>
      <c r="G53" s="252"/>
      <c r="H53" s="252"/>
      <c r="I53" s="252"/>
      <c r="J53" s="252"/>
      <c r="K53" s="252"/>
      <c r="L53" s="252"/>
      <c r="M53" s="219"/>
    </row>
    <row r="54" spans="1:13" ht="16.5">
      <c r="A54" s="253" t="s">
        <v>229</v>
      </c>
      <c r="B54" s="253" t="s">
        <v>230</v>
      </c>
      <c r="C54" s="249"/>
      <c r="D54" s="219"/>
      <c r="E54" s="219"/>
      <c r="F54" s="219"/>
      <c r="G54" s="219"/>
      <c r="H54" s="219"/>
      <c r="I54" s="219"/>
      <c r="J54" s="219"/>
      <c r="K54" s="219"/>
      <c r="L54" s="219"/>
      <c r="M54" s="219"/>
    </row>
    <row r="55" spans="1:13" ht="17.25">
      <c r="A55" s="221" t="s">
        <v>231</v>
      </c>
      <c r="B55" s="254">
        <f xml:space="preserve"> Resource!F72/1024</f>
        <v>4</v>
      </c>
      <c r="C55" s="249">
        <f>D51</f>
        <v>20480</v>
      </c>
      <c r="D55" s="219"/>
      <c r="E55" s="219"/>
      <c r="F55" s="219"/>
      <c r="G55" s="219"/>
      <c r="H55" s="219"/>
      <c r="I55" s="219"/>
      <c r="J55" s="219"/>
      <c r="K55" s="219"/>
      <c r="L55" s="219"/>
      <c r="M55" s="219"/>
    </row>
    <row r="56" spans="1:13" ht="14.25" customHeight="1">
      <c r="A56" s="221" t="s">
        <v>232</v>
      </c>
      <c r="B56" s="254">
        <f xml:space="preserve"> Resource!F72/1024</f>
        <v>4</v>
      </c>
      <c r="C56" s="249">
        <f>G51*2+H51</f>
        <v>15358</v>
      </c>
      <c r="D56" s="219"/>
      <c r="E56" s="219"/>
      <c r="F56" s="219"/>
      <c r="G56" s="219"/>
      <c r="H56" s="219"/>
      <c r="I56" s="219"/>
      <c r="J56" s="219"/>
      <c r="K56" s="219"/>
      <c r="L56" s="219"/>
      <c r="M56" s="219"/>
    </row>
    <row r="57" spans="1:13" ht="14.25" customHeight="1">
      <c r="A57" s="221" t="s">
        <v>233</v>
      </c>
      <c r="B57" s="254">
        <f xml:space="preserve"> Resource!F57/1024</f>
        <v>24</v>
      </c>
      <c r="C57" s="249">
        <f>E51+F51</f>
        <v>32768</v>
      </c>
      <c r="D57" s="219"/>
      <c r="E57" s="219"/>
      <c r="F57" s="219"/>
      <c r="G57" s="219"/>
      <c r="H57" s="219"/>
      <c r="I57" s="219"/>
      <c r="J57" s="219"/>
      <c r="K57" s="219"/>
      <c r="L57" s="219"/>
      <c r="M57" s="219"/>
    </row>
    <row r="58" spans="1:13" ht="17.25">
      <c r="A58" s="221" t="s">
        <v>234</v>
      </c>
      <c r="B58" s="254">
        <f xml:space="preserve"> Resource!F64/1024</f>
        <v>64</v>
      </c>
      <c r="C58" s="255">
        <f xml:space="preserve"> I51+J51+K51</f>
        <v>12288</v>
      </c>
      <c r="D58" s="219"/>
      <c r="E58" s="219"/>
      <c r="F58" s="219"/>
      <c r="G58" s="219"/>
      <c r="H58" s="219"/>
      <c r="I58" s="219"/>
      <c r="J58" s="219"/>
      <c r="K58" s="219"/>
      <c r="L58" s="219"/>
      <c r="M58" s="219"/>
    </row>
    <row r="59" spans="1:13" ht="16.5">
      <c r="A59" s="219"/>
      <c r="B59" s="219"/>
      <c r="C59" s="220"/>
      <c r="D59" s="219"/>
      <c r="E59" s="219"/>
      <c r="F59" s="219"/>
      <c r="G59" s="219"/>
      <c r="H59" s="219"/>
      <c r="I59" s="219"/>
      <c r="J59" s="219"/>
      <c r="K59" s="219"/>
      <c r="L59" s="219"/>
      <c r="M59" s="219"/>
    </row>
    <row r="60" spans="1:13" ht="17.25" thickBot="1">
      <c r="A60" s="256" t="s">
        <v>663</v>
      </c>
      <c r="B60" s="219"/>
      <c r="C60" s="220"/>
      <c r="D60" s="219"/>
      <c r="E60" s="219"/>
      <c r="F60" s="219"/>
      <c r="G60" s="219"/>
      <c r="H60" s="219"/>
      <c r="I60" s="219"/>
      <c r="J60" s="219"/>
      <c r="K60" s="219"/>
      <c r="L60" s="219"/>
      <c r="M60" s="219"/>
    </row>
    <row r="61" spans="1:13" ht="17.25">
      <c r="A61" s="257" t="s">
        <v>229</v>
      </c>
      <c r="B61" s="258" t="s">
        <v>664</v>
      </c>
      <c r="C61" s="259" t="s">
        <v>235</v>
      </c>
      <c r="D61" s="219"/>
      <c r="E61" s="219"/>
      <c r="F61" s="219"/>
      <c r="G61" s="219"/>
      <c r="H61" s="219"/>
      <c r="I61" s="219"/>
      <c r="J61" s="219"/>
      <c r="K61" s="219"/>
      <c r="L61" s="219"/>
      <c r="M61" s="219"/>
    </row>
    <row r="62" spans="1:13" ht="16.5">
      <c r="A62" s="260" t="s">
        <v>172</v>
      </c>
      <c r="B62" s="260">
        <f>D51</f>
        <v>20480</v>
      </c>
      <c r="C62" s="261">
        <f>B55*1024-B62</f>
        <v>-16384</v>
      </c>
      <c r="D62" s="219"/>
      <c r="E62" s="219"/>
      <c r="F62" s="219"/>
      <c r="G62" s="219"/>
      <c r="H62" s="219"/>
      <c r="I62" s="219"/>
      <c r="J62" s="219"/>
      <c r="K62" s="219"/>
      <c r="L62" s="219"/>
      <c r="M62" s="219"/>
    </row>
    <row r="63" spans="1:13" ht="16.5">
      <c r="A63" s="260" t="s">
        <v>232</v>
      </c>
      <c r="B63" s="260">
        <f xml:space="preserve"> C56</f>
        <v>15358</v>
      </c>
      <c r="C63" s="261">
        <f xml:space="preserve"> B56*1024 - B63</f>
        <v>-11262</v>
      </c>
      <c r="D63" s="219"/>
      <c r="E63" s="219"/>
      <c r="F63" s="219"/>
      <c r="G63" s="219"/>
      <c r="H63" s="219"/>
      <c r="I63" s="219"/>
      <c r="J63" s="219"/>
      <c r="K63" s="219"/>
      <c r="L63" s="219"/>
      <c r="M63" s="219"/>
    </row>
    <row r="64" spans="1:13" ht="16.5">
      <c r="A64" s="260" t="s">
        <v>233</v>
      </c>
      <c r="B64" s="260">
        <f xml:space="preserve"> C57</f>
        <v>32768</v>
      </c>
      <c r="C64" s="261">
        <f xml:space="preserve"> B57*1024 - B64</f>
        <v>-8192</v>
      </c>
      <c r="D64" s="219"/>
      <c r="E64" s="219"/>
      <c r="F64" s="219"/>
      <c r="G64" s="219"/>
      <c r="H64" s="219"/>
      <c r="I64" s="219"/>
      <c r="J64" s="219"/>
      <c r="K64" s="219"/>
      <c r="L64" s="219"/>
      <c r="M64" s="219"/>
    </row>
    <row r="65" spans="1:13" ht="16.5">
      <c r="A65" s="260" t="s">
        <v>236</v>
      </c>
      <c r="B65" s="260">
        <f>I51+J51+K51</f>
        <v>12288</v>
      </c>
      <c r="C65" s="261">
        <f>B58*1024-B65</f>
        <v>53248</v>
      </c>
      <c r="D65" s="219"/>
      <c r="E65" s="219"/>
      <c r="F65" s="219"/>
      <c r="G65" s="219"/>
      <c r="H65" s="219"/>
      <c r="I65" s="219"/>
      <c r="J65" s="219"/>
      <c r="K65" s="219"/>
      <c r="L65" s="219"/>
      <c r="M65" s="219"/>
    </row>
    <row r="66" spans="1:13" ht="16.5">
      <c r="A66" s="262"/>
      <c r="B66" s="252"/>
      <c r="C66" s="263"/>
      <c r="D66" s="219"/>
      <c r="E66" s="219"/>
      <c r="F66" s="219"/>
      <c r="G66" s="219"/>
      <c r="H66" s="219"/>
      <c r="I66" s="219"/>
      <c r="J66" s="219"/>
      <c r="K66" s="219"/>
      <c r="L66" s="219"/>
      <c r="M66" s="219"/>
    </row>
    <row r="67" spans="1:13" ht="16.5">
      <c r="A67" s="219"/>
      <c r="B67" s="219"/>
      <c r="C67" s="220"/>
      <c r="D67" s="219"/>
      <c r="E67" s="219"/>
      <c r="F67" s="219"/>
      <c r="G67" s="219"/>
      <c r="H67" s="219"/>
      <c r="I67" s="219"/>
      <c r="J67" s="219"/>
      <c r="K67" s="219"/>
      <c r="L67" s="219"/>
      <c r="M67" s="219"/>
    </row>
  </sheetData>
  <sheetProtection formatCells="0"/>
  <mergeCells count="11">
    <mergeCell ref="M2:M3"/>
    <mergeCell ref="D49:J50"/>
    <mergeCell ref="J2:J3"/>
    <mergeCell ref="I2:I3"/>
    <mergeCell ref="M23:M24"/>
    <mergeCell ref="A2:A3"/>
    <mergeCell ref="B2:B3"/>
    <mergeCell ref="D2:D3"/>
    <mergeCell ref="E2:F2"/>
    <mergeCell ref="G2:H2"/>
    <mergeCell ref="C2:C3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39"/>
  <sheetViews>
    <sheetView workbookViewId="0">
      <selection activeCell="H30" sqref="H30"/>
    </sheetView>
  </sheetViews>
  <sheetFormatPr defaultRowHeight="13.5"/>
  <cols>
    <col min="1" max="1" width="16.5" customWidth="1"/>
    <col min="3" max="3" width="19.5" customWidth="1"/>
    <col min="4" max="5" width="12.75" customWidth="1"/>
    <col min="6" max="6" width="11.5" customWidth="1"/>
  </cols>
  <sheetData>
    <row r="1" spans="1:8">
      <c r="A1" s="90" t="s">
        <v>237</v>
      </c>
      <c r="B1" s="90" t="s">
        <v>238</v>
      </c>
      <c r="C1" s="90" t="s">
        <v>239</v>
      </c>
      <c r="D1" s="90" t="s">
        <v>240</v>
      </c>
      <c r="E1" s="90" t="s">
        <v>241</v>
      </c>
      <c r="F1" s="269" t="s">
        <v>242</v>
      </c>
      <c r="G1" s="269"/>
      <c r="H1" s="269"/>
    </row>
    <row r="2" spans="1:8">
      <c r="A2" s="91"/>
      <c r="B2" s="91"/>
      <c r="C2" s="91"/>
      <c r="D2" s="91"/>
      <c r="E2" s="93" t="s">
        <v>243</v>
      </c>
      <c r="F2" s="93" t="s">
        <v>243</v>
      </c>
      <c r="G2" s="93" t="s">
        <v>244</v>
      </c>
      <c r="H2" s="93" t="s">
        <v>245</v>
      </c>
    </row>
    <row r="3" spans="1:8">
      <c r="A3" s="97" t="s">
        <v>246</v>
      </c>
      <c r="B3" s="91" t="s">
        <v>247</v>
      </c>
      <c r="C3" s="91"/>
      <c r="D3" s="91" t="s">
        <v>247</v>
      </c>
      <c r="E3" s="91" t="s">
        <v>247</v>
      </c>
      <c r="F3" s="91" t="s">
        <v>247</v>
      </c>
      <c r="G3" s="91" t="s">
        <v>247</v>
      </c>
      <c r="H3" s="91" t="s">
        <v>247</v>
      </c>
    </row>
    <row r="4" spans="1:8">
      <c r="A4" s="91"/>
      <c r="B4" s="91"/>
      <c r="C4" s="91"/>
      <c r="D4" s="91"/>
      <c r="E4" s="91"/>
      <c r="F4" s="91"/>
      <c r="G4" s="91"/>
      <c r="H4" s="91"/>
    </row>
    <row r="5" spans="1:8">
      <c r="A5" s="96" t="s">
        <v>248</v>
      </c>
      <c r="B5" s="91" t="s">
        <v>247</v>
      </c>
      <c r="C5" s="91"/>
      <c r="D5" s="91" t="s">
        <v>249</v>
      </c>
      <c r="E5" s="91" t="s">
        <v>247</v>
      </c>
      <c r="F5" s="91" t="s">
        <v>247</v>
      </c>
      <c r="G5" s="91" t="s">
        <v>247</v>
      </c>
      <c r="H5" s="91" t="s">
        <v>247</v>
      </c>
    </row>
    <row r="6" spans="1:8">
      <c r="A6" s="96" t="s">
        <v>250</v>
      </c>
      <c r="B6" s="91" t="s">
        <v>249</v>
      </c>
      <c r="C6" s="91"/>
      <c r="D6" s="91" t="s">
        <v>249</v>
      </c>
      <c r="E6" s="91" t="s">
        <v>247</v>
      </c>
      <c r="F6" s="91" t="s">
        <v>247</v>
      </c>
      <c r="G6" s="91" t="s">
        <v>247</v>
      </c>
      <c r="H6" s="91" t="s">
        <v>251</v>
      </c>
    </row>
    <row r="7" spans="1:8">
      <c r="A7" s="91"/>
      <c r="B7" s="91"/>
      <c r="C7" s="91"/>
      <c r="D7" s="91"/>
      <c r="E7" s="91"/>
      <c r="F7" s="91"/>
      <c r="G7" s="91"/>
      <c r="H7" s="91"/>
    </row>
    <row r="8" spans="1:8">
      <c r="A8" s="95" t="s">
        <v>252</v>
      </c>
      <c r="B8" s="91"/>
      <c r="C8" s="91"/>
      <c r="D8" s="91"/>
      <c r="E8" s="91"/>
      <c r="F8" s="91"/>
      <c r="G8" s="91"/>
      <c r="H8" s="91"/>
    </row>
    <row r="9" spans="1:8">
      <c r="A9" s="95" t="s">
        <v>253</v>
      </c>
      <c r="B9" s="91" t="s">
        <v>249</v>
      </c>
      <c r="C9" s="91"/>
      <c r="D9" s="91" t="s">
        <v>249</v>
      </c>
      <c r="E9" s="91" t="s">
        <v>247</v>
      </c>
      <c r="F9" s="91" t="s">
        <v>254</v>
      </c>
      <c r="G9" s="91" t="s">
        <v>247</v>
      </c>
      <c r="H9" s="91" t="s">
        <v>249</v>
      </c>
    </row>
    <row r="10" spans="1:8">
      <c r="A10" s="95" t="s">
        <v>255</v>
      </c>
      <c r="B10" s="91" t="s">
        <v>249</v>
      </c>
      <c r="C10" s="91"/>
      <c r="D10" s="91" t="s">
        <v>249</v>
      </c>
      <c r="E10" s="91" t="s">
        <v>247</v>
      </c>
      <c r="F10" s="91" t="s">
        <v>254</v>
      </c>
      <c r="G10" s="91" t="s">
        <v>249</v>
      </c>
      <c r="H10" s="91" t="s">
        <v>249</v>
      </c>
    </row>
    <row r="11" spans="1:8">
      <c r="A11" s="95" t="s">
        <v>256</v>
      </c>
      <c r="B11" s="91" t="s">
        <v>249</v>
      </c>
      <c r="C11" s="91"/>
      <c r="D11" s="91" t="s">
        <v>257</v>
      </c>
      <c r="E11" s="91" t="s">
        <v>254</v>
      </c>
      <c r="F11" s="92" t="s">
        <v>254</v>
      </c>
      <c r="G11" s="92" t="s">
        <v>249</v>
      </c>
      <c r="H11" s="92" t="s">
        <v>249</v>
      </c>
    </row>
    <row r="12" spans="1:8">
      <c r="A12" s="91"/>
      <c r="B12" s="91"/>
      <c r="C12" s="91"/>
      <c r="D12" s="91"/>
      <c r="E12" s="91"/>
      <c r="F12" s="91"/>
      <c r="G12" s="91"/>
      <c r="H12" s="91"/>
    </row>
    <row r="13" spans="1:8">
      <c r="A13" s="98" t="s">
        <v>258</v>
      </c>
      <c r="B13" s="91" t="s">
        <v>249</v>
      </c>
      <c r="C13" s="91"/>
      <c r="D13" s="91" t="s">
        <v>249</v>
      </c>
      <c r="E13" s="91" t="s">
        <v>259</v>
      </c>
      <c r="F13" s="91" t="s">
        <v>247</v>
      </c>
      <c r="G13" s="91" t="s">
        <v>247</v>
      </c>
      <c r="H13" s="91" t="s">
        <v>249</v>
      </c>
    </row>
    <row r="14" spans="1:8">
      <c r="A14" s="98" t="s">
        <v>260</v>
      </c>
      <c r="B14" s="91" t="s">
        <v>249</v>
      </c>
      <c r="C14" s="91"/>
      <c r="D14" s="91" t="s">
        <v>249</v>
      </c>
      <c r="E14" s="91" t="s">
        <v>261</v>
      </c>
      <c r="F14" s="91" t="s">
        <v>247</v>
      </c>
      <c r="G14" s="91" t="s">
        <v>247</v>
      </c>
      <c r="H14" s="91" t="s">
        <v>249</v>
      </c>
    </row>
    <row r="15" spans="1:8">
      <c r="A15" s="98" t="s">
        <v>262</v>
      </c>
      <c r="B15" s="91" t="s">
        <v>249</v>
      </c>
      <c r="C15" s="91"/>
      <c r="D15" s="91" t="s">
        <v>263</v>
      </c>
      <c r="E15" s="91" t="s">
        <v>264</v>
      </c>
      <c r="F15" s="91" t="s">
        <v>259</v>
      </c>
      <c r="G15" s="91" t="s">
        <v>247</v>
      </c>
      <c r="H15" s="91" t="s">
        <v>249</v>
      </c>
    </row>
    <row r="16" spans="1:8">
      <c r="A16" s="98" t="s">
        <v>265</v>
      </c>
      <c r="B16" s="91" t="s">
        <v>249</v>
      </c>
      <c r="C16" s="91"/>
      <c r="D16" s="91" t="s">
        <v>263</v>
      </c>
      <c r="E16" s="91" t="s">
        <v>264</v>
      </c>
      <c r="F16" s="91" t="s">
        <v>261</v>
      </c>
      <c r="G16" s="91" t="s">
        <v>247</v>
      </c>
      <c r="H16" s="91" t="s">
        <v>249</v>
      </c>
    </row>
    <row r="17" spans="1:8">
      <c r="A17" s="98" t="s">
        <v>266</v>
      </c>
      <c r="B17" s="91" t="s">
        <v>249</v>
      </c>
      <c r="C17" s="91"/>
      <c r="D17" s="91" t="s">
        <v>249</v>
      </c>
      <c r="E17" s="91" t="s">
        <v>247</v>
      </c>
      <c r="F17" s="91" t="s">
        <v>254</v>
      </c>
      <c r="G17" s="91" t="s">
        <v>247</v>
      </c>
      <c r="H17" s="91" t="s">
        <v>249</v>
      </c>
    </row>
    <row r="18" spans="1:8">
      <c r="A18" s="98" t="s">
        <v>267</v>
      </c>
      <c r="B18" s="91" t="s">
        <v>249</v>
      </c>
      <c r="C18" s="91"/>
      <c r="D18" s="91" t="s">
        <v>249</v>
      </c>
      <c r="E18" s="91" t="s">
        <v>247</v>
      </c>
      <c r="F18" s="91" t="s">
        <v>268</v>
      </c>
      <c r="G18" s="91" t="s">
        <v>247</v>
      </c>
      <c r="H18" s="91" t="s">
        <v>249</v>
      </c>
    </row>
    <row r="19" spans="1:8">
      <c r="A19" s="98" t="s">
        <v>269</v>
      </c>
      <c r="B19" s="91" t="s">
        <v>249</v>
      </c>
      <c r="C19" s="91"/>
      <c r="D19" s="91" t="s">
        <v>249</v>
      </c>
      <c r="E19" s="91" t="s">
        <v>247</v>
      </c>
      <c r="F19" s="91" t="s">
        <v>254</v>
      </c>
      <c r="G19" s="91" t="s">
        <v>247</v>
      </c>
      <c r="H19" s="91" t="s">
        <v>249</v>
      </c>
    </row>
    <row r="20" spans="1:8">
      <c r="A20" s="91"/>
      <c r="B20" s="91"/>
      <c r="C20" s="91"/>
      <c r="D20" s="91"/>
      <c r="E20" s="91"/>
      <c r="F20" s="91"/>
      <c r="G20" s="91"/>
      <c r="H20" s="91"/>
    </row>
    <row r="21" spans="1:8">
      <c r="A21" s="91"/>
      <c r="B21" s="91"/>
      <c r="C21" s="91"/>
      <c r="D21" s="91"/>
      <c r="E21" s="91"/>
      <c r="F21" s="91"/>
      <c r="G21" s="91"/>
      <c r="H21" s="91"/>
    </row>
    <row r="22" spans="1:8">
      <c r="A22" s="99" t="s">
        <v>270</v>
      </c>
      <c r="B22" s="91" t="s">
        <v>249</v>
      </c>
      <c r="C22" s="91"/>
      <c r="D22" s="91" t="s">
        <v>247</v>
      </c>
      <c r="E22" s="91" t="s">
        <v>247</v>
      </c>
      <c r="F22" s="91" t="s">
        <v>247</v>
      </c>
      <c r="G22" s="91" t="s">
        <v>247</v>
      </c>
      <c r="H22" s="91" t="s">
        <v>247</v>
      </c>
    </row>
    <row r="23" spans="1:8">
      <c r="A23" s="99" t="s">
        <v>271</v>
      </c>
      <c r="B23" s="91" t="s">
        <v>249</v>
      </c>
      <c r="C23" s="91"/>
      <c r="D23" s="91" t="s">
        <v>247</v>
      </c>
      <c r="E23" s="91" t="s">
        <v>247</v>
      </c>
      <c r="F23" s="91" t="s">
        <v>247</v>
      </c>
      <c r="G23" s="91" t="s">
        <v>247</v>
      </c>
      <c r="H23" s="91" t="s">
        <v>247</v>
      </c>
    </row>
    <row r="24" spans="1:8">
      <c r="A24" s="99" t="s">
        <v>272</v>
      </c>
      <c r="B24" s="91" t="s">
        <v>247</v>
      </c>
      <c r="C24" s="91"/>
      <c r="D24" s="91" t="s">
        <v>249</v>
      </c>
      <c r="E24" s="91" t="s">
        <v>247</v>
      </c>
      <c r="F24" s="91" t="s">
        <v>273</v>
      </c>
      <c r="G24" s="91" t="s">
        <v>247</v>
      </c>
      <c r="H24" s="91" t="s">
        <v>247</v>
      </c>
    </row>
    <row r="25" spans="1:8">
      <c r="A25" s="99" t="s">
        <v>274</v>
      </c>
      <c r="B25" s="91" t="s">
        <v>247</v>
      </c>
      <c r="C25" s="91"/>
      <c r="D25" s="91" t="s">
        <v>249</v>
      </c>
      <c r="E25" s="91" t="s">
        <v>275</v>
      </c>
      <c r="F25" s="91" t="s">
        <v>247</v>
      </c>
      <c r="G25" s="91" t="s">
        <v>247</v>
      </c>
      <c r="H25" s="91" t="s">
        <v>247</v>
      </c>
    </row>
    <row r="26" spans="1:8">
      <c r="A26" s="99" t="s">
        <v>276</v>
      </c>
      <c r="B26" s="91" t="s">
        <v>247</v>
      </c>
      <c r="C26" s="91"/>
      <c r="D26" s="91" t="s">
        <v>249</v>
      </c>
      <c r="E26" s="91" t="s">
        <v>277</v>
      </c>
      <c r="F26" s="91" t="s">
        <v>273</v>
      </c>
      <c r="G26" s="91" t="s">
        <v>247</v>
      </c>
      <c r="H26" s="91" t="s">
        <v>247</v>
      </c>
    </row>
    <row r="27" spans="1:8">
      <c r="A27" s="91"/>
      <c r="B27" s="91"/>
      <c r="C27" s="91"/>
      <c r="D27" s="91"/>
      <c r="E27" s="91"/>
      <c r="F27" s="91"/>
      <c r="G27" s="91"/>
      <c r="H27" s="91"/>
    </row>
    <row r="28" spans="1:8">
      <c r="A28" s="100" t="s">
        <v>278</v>
      </c>
      <c r="B28" s="91"/>
      <c r="C28" s="91"/>
      <c r="D28" s="91"/>
      <c r="E28" s="91"/>
      <c r="F28" s="91"/>
      <c r="G28" s="91"/>
      <c r="H28" s="91"/>
    </row>
    <row r="29" spans="1:8">
      <c r="A29" s="100" t="s">
        <v>279</v>
      </c>
      <c r="B29" s="91" t="s">
        <v>247</v>
      </c>
      <c r="C29" s="91" t="s">
        <v>521</v>
      </c>
      <c r="D29" s="91"/>
      <c r="E29" s="91"/>
      <c r="F29" s="91"/>
      <c r="G29" s="91"/>
      <c r="H29" s="91"/>
    </row>
    <row r="30" spans="1:8" ht="27">
      <c r="A30" s="100" t="s">
        <v>280</v>
      </c>
      <c r="B30" s="91" t="s">
        <v>247</v>
      </c>
      <c r="C30" s="94" t="s">
        <v>522</v>
      </c>
      <c r="D30" s="91"/>
      <c r="E30" s="91"/>
      <c r="F30" s="91"/>
      <c r="G30" s="91"/>
      <c r="H30" s="91"/>
    </row>
    <row r="31" spans="1:8">
      <c r="A31" s="100" t="s">
        <v>281</v>
      </c>
      <c r="B31" s="91" t="s">
        <v>247</v>
      </c>
      <c r="C31" s="91" t="s">
        <v>523</v>
      </c>
      <c r="D31" s="91"/>
      <c r="E31" s="91"/>
      <c r="F31" s="91"/>
      <c r="G31" s="91"/>
      <c r="H31" s="91"/>
    </row>
    <row r="32" spans="1:8">
      <c r="A32" s="91"/>
      <c r="B32" s="91"/>
      <c r="C32" s="91"/>
      <c r="D32" s="91"/>
      <c r="E32" s="91"/>
      <c r="F32" s="91"/>
      <c r="G32" s="91"/>
      <c r="H32" s="91"/>
    </row>
    <row r="33" spans="1:8">
      <c r="A33" s="91"/>
      <c r="B33" s="91"/>
      <c r="C33" s="91"/>
      <c r="D33" s="91"/>
      <c r="E33" s="91"/>
      <c r="F33" s="91"/>
      <c r="G33" s="91"/>
      <c r="H33" s="91"/>
    </row>
    <row r="34" spans="1:8">
      <c r="A34" s="91" t="s">
        <v>282</v>
      </c>
      <c r="B34" s="91" t="s">
        <v>247</v>
      </c>
      <c r="C34" s="91" t="s">
        <v>247</v>
      </c>
      <c r="D34" s="91" t="s">
        <v>247</v>
      </c>
      <c r="E34" s="91" t="s">
        <v>247</v>
      </c>
      <c r="F34" s="91" t="s">
        <v>247</v>
      </c>
      <c r="G34" s="91" t="s">
        <v>247</v>
      </c>
      <c r="H34" s="91" t="s">
        <v>247</v>
      </c>
    </row>
    <row r="35" spans="1:8">
      <c r="A35" s="91"/>
      <c r="B35" s="91"/>
      <c r="C35" s="91"/>
      <c r="D35" s="91"/>
      <c r="E35" s="91"/>
      <c r="F35" s="91"/>
      <c r="G35" s="91"/>
      <c r="H35" s="91"/>
    </row>
    <row r="36" spans="1:8">
      <c r="A36" s="91"/>
      <c r="B36" s="91"/>
      <c r="C36" s="91"/>
      <c r="D36" s="91"/>
      <c r="E36" s="91"/>
      <c r="F36" s="91"/>
      <c r="G36" s="91"/>
      <c r="H36" s="91"/>
    </row>
    <row r="37" spans="1:8">
      <c r="A37" s="91"/>
      <c r="B37" s="91"/>
      <c r="C37" s="91"/>
      <c r="D37" s="91"/>
      <c r="E37" s="91"/>
      <c r="F37" s="91"/>
      <c r="G37" s="91"/>
      <c r="H37" s="91"/>
    </row>
    <row r="38" spans="1:8">
      <c r="A38" s="91"/>
      <c r="B38" s="91"/>
      <c r="C38" s="91"/>
      <c r="D38" s="91"/>
      <c r="E38" s="91"/>
      <c r="F38" s="91"/>
      <c r="G38" s="91"/>
      <c r="H38" s="91"/>
    </row>
    <row r="39" spans="1:8">
      <c r="A39" s="91"/>
      <c r="B39" s="91"/>
      <c r="C39" s="91"/>
      <c r="D39" s="91"/>
      <c r="E39" s="91"/>
      <c r="F39" s="91"/>
      <c r="G39" s="91"/>
      <c r="H39" s="91"/>
    </row>
  </sheetData>
  <mergeCells count="1">
    <mergeCell ref="F1:H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B1:P40"/>
  <sheetViews>
    <sheetView workbookViewId="0">
      <selection activeCell="C17" sqref="C17"/>
    </sheetView>
  </sheetViews>
  <sheetFormatPr defaultRowHeight="13.5"/>
  <cols>
    <col min="1" max="1" width="1.875" customWidth="1"/>
    <col min="2" max="2" width="14.5" customWidth="1"/>
    <col min="3" max="3" width="30.25" bestFit="1" customWidth="1"/>
    <col min="4" max="4" width="13.75" customWidth="1"/>
    <col min="5" max="5" width="15" customWidth="1"/>
    <col min="6" max="6" width="18.875" customWidth="1"/>
    <col min="7" max="7" width="35.125" bestFit="1" customWidth="1"/>
    <col min="8" max="8" width="3" customWidth="1"/>
    <col min="9" max="9" width="19.375" bestFit="1" customWidth="1"/>
    <col min="10" max="10" width="8.5" style="89" bestFit="1" customWidth="1"/>
    <col min="11" max="11" width="10.75" style="89" bestFit="1" customWidth="1"/>
    <col min="12" max="12" width="12.75" bestFit="1" customWidth="1"/>
    <col min="13" max="13" width="7.5" bestFit="1" customWidth="1"/>
    <col min="14" max="14" width="6.375" customWidth="1"/>
    <col min="15" max="15" width="8.5" bestFit="1" customWidth="1"/>
    <col min="16" max="16" width="58.5" bestFit="1" customWidth="1"/>
  </cols>
  <sheetData>
    <row r="1" spans="2:16" ht="14.25" thickBot="1"/>
    <row r="2" spans="2:16">
      <c r="B2" s="113" t="s">
        <v>109</v>
      </c>
      <c r="C2" s="69" t="s">
        <v>110</v>
      </c>
      <c r="D2" s="70" t="s">
        <v>286</v>
      </c>
      <c r="E2" s="70" t="s">
        <v>111</v>
      </c>
      <c r="F2" s="81" t="s">
        <v>148</v>
      </c>
      <c r="I2" s="278" t="s">
        <v>291</v>
      </c>
      <c r="J2" s="279"/>
      <c r="K2" s="279"/>
      <c r="L2" s="280"/>
      <c r="M2" s="278" t="s">
        <v>296</v>
      </c>
      <c r="N2" s="279"/>
      <c r="O2" s="280"/>
    </row>
    <row r="3" spans="2:16" ht="20.100000000000001" customHeight="1">
      <c r="B3" s="275" t="s">
        <v>26</v>
      </c>
      <c r="C3" s="75" t="s">
        <v>24</v>
      </c>
      <c r="D3" s="144">
        <v>4</v>
      </c>
      <c r="E3" s="76">
        <v>80</v>
      </c>
      <c r="F3" s="156">
        <v>0.25</v>
      </c>
      <c r="I3" s="102" t="s">
        <v>112</v>
      </c>
      <c r="J3" s="106" t="s">
        <v>292</v>
      </c>
      <c r="K3" s="103" t="s">
        <v>293</v>
      </c>
      <c r="L3" s="87" t="s">
        <v>113</v>
      </c>
      <c r="M3" s="114" t="s">
        <v>294</v>
      </c>
      <c r="N3" s="123" t="s">
        <v>295</v>
      </c>
      <c r="O3" s="216" t="s">
        <v>303</v>
      </c>
    </row>
    <row r="4" spans="2:16" ht="20.100000000000001" customHeight="1">
      <c r="B4" s="276"/>
      <c r="C4" s="75" t="s">
        <v>117</v>
      </c>
      <c r="D4" s="144">
        <v>0</v>
      </c>
      <c r="E4" s="76">
        <v>80</v>
      </c>
      <c r="F4" s="156">
        <v>0.25</v>
      </c>
      <c r="I4" s="118" t="s">
        <v>287</v>
      </c>
      <c r="J4" s="281"/>
      <c r="K4" s="282"/>
      <c r="L4" s="283"/>
      <c r="M4" s="273"/>
      <c r="N4" s="274"/>
      <c r="O4" s="105"/>
    </row>
    <row r="5" spans="2:16" ht="20.100000000000001" customHeight="1">
      <c r="B5" s="276"/>
      <c r="C5" s="75" t="s">
        <v>524</v>
      </c>
      <c r="D5" s="145">
        <v>0</v>
      </c>
      <c r="E5" s="76">
        <v>80</v>
      </c>
      <c r="F5" s="82">
        <v>0.25</v>
      </c>
      <c r="I5" s="107" t="s">
        <v>133</v>
      </c>
      <c r="J5" s="108">
        <f>SUM(D3,D4,D6,D7,D8,D9,D10,D11,D12,D13,D24)*1024</f>
        <v>8192</v>
      </c>
      <c r="K5" s="108">
        <f xml:space="preserve"> SUM(D3,D4,D6,D7,D8,D9,D10,D11,D12,D13,D24)*1024*0.25</f>
        <v>2048</v>
      </c>
      <c r="L5" s="109">
        <f>SUM(J5:K5)</f>
        <v>10240</v>
      </c>
      <c r="M5" s="119">
        <f xml:space="preserve"> Resource!F4+Resource!F9</f>
        <v>16384</v>
      </c>
      <c r="N5" s="124">
        <f xml:space="preserve"> SUM(Resource!F87:F92)</f>
        <v>4096</v>
      </c>
      <c r="O5" s="105">
        <f>M5+N5-L5</f>
        <v>10240</v>
      </c>
    </row>
    <row r="6" spans="2:16" ht="20.100000000000001" customHeight="1">
      <c r="B6" s="276"/>
      <c r="C6" s="75" t="s">
        <v>114</v>
      </c>
      <c r="D6" s="144">
        <v>0</v>
      </c>
      <c r="E6" s="76">
        <v>80</v>
      </c>
      <c r="F6" s="156">
        <v>0.25</v>
      </c>
      <c r="I6" s="107" t="s">
        <v>153</v>
      </c>
      <c r="J6" s="108">
        <f xml:space="preserve"> D5*1024*E5/80 + D15*1024*E15/80</f>
        <v>4096</v>
      </c>
      <c r="K6" s="108">
        <f xml:space="preserve"> D5*1024*E5*F5/80 + D15*1024*E15*F15/80</f>
        <v>1024</v>
      </c>
      <c r="L6" s="109">
        <f t="shared" ref="L6:L11" si="0">SUM(J6:K6)</f>
        <v>5120</v>
      </c>
      <c r="M6" s="119">
        <f xml:space="preserve"> Resource!F12</f>
        <v>8192</v>
      </c>
      <c r="N6" s="124"/>
      <c r="O6" s="105">
        <f t="shared" ref="O6:O16" si="1">M6+N6-L6</f>
        <v>3072</v>
      </c>
    </row>
    <row r="7" spans="2:16" ht="20.100000000000001" customHeight="1">
      <c r="B7" s="276"/>
      <c r="C7" s="75" t="s">
        <v>116</v>
      </c>
      <c r="D7" s="144">
        <v>0</v>
      </c>
      <c r="E7" s="76">
        <v>80</v>
      </c>
      <c r="F7" s="156">
        <v>0.25</v>
      </c>
      <c r="I7" s="107" t="s">
        <v>139</v>
      </c>
      <c r="J7" s="108">
        <f xml:space="preserve"> D17*1024*E17/80</f>
        <v>0</v>
      </c>
      <c r="K7" s="108">
        <f xml:space="preserve"> D17*1024*E17*F17/80</f>
        <v>0</v>
      </c>
      <c r="L7" s="109">
        <f t="shared" si="0"/>
        <v>0</v>
      </c>
      <c r="M7" s="119">
        <f xml:space="preserve"> Resource!F32</f>
        <v>0</v>
      </c>
      <c r="N7" s="124"/>
      <c r="O7" s="105">
        <f t="shared" si="1"/>
        <v>0</v>
      </c>
    </row>
    <row r="8" spans="2:16" s="121" customFormat="1" ht="20.100000000000001" customHeight="1">
      <c r="B8" s="276"/>
      <c r="C8" s="75" t="s">
        <v>115</v>
      </c>
      <c r="D8" s="144">
        <v>0</v>
      </c>
      <c r="E8" s="76">
        <v>80</v>
      </c>
      <c r="F8" s="156">
        <v>0.25</v>
      </c>
      <c r="I8" s="107" t="s">
        <v>654</v>
      </c>
      <c r="J8" s="108">
        <f>D23*1024*E23/80+D27*1024*E27/80</f>
        <v>100352</v>
      </c>
      <c r="K8" s="108">
        <f>J8*F23</f>
        <v>25088</v>
      </c>
      <c r="L8" s="109">
        <f t="shared" si="0"/>
        <v>125440</v>
      </c>
      <c r="M8" s="119">
        <f>Resource!F14</f>
        <v>131072</v>
      </c>
      <c r="N8" s="124"/>
      <c r="O8" s="105">
        <f>M8-L8</f>
        <v>5632</v>
      </c>
    </row>
    <row r="9" spans="2:16" ht="20.100000000000001" customHeight="1">
      <c r="B9" s="276"/>
      <c r="C9" s="75" t="s">
        <v>25</v>
      </c>
      <c r="D9" s="144">
        <v>0</v>
      </c>
      <c r="E9" s="76">
        <v>80</v>
      </c>
      <c r="F9" s="156">
        <v>0.25</v>
      </c>
      <c r="I9" s="107" t="s">
        <v>154</v>
      </c>
      <c r="J9" s="108">
        <f>D18*1024*E18/80+D20*E20*1024/80+D22*E22*1024/80</f>
        <v>17408</v>
      </c>
      <c r="K9" s="108">
        <f>D18*1024*E18*F18/80+D20*E20*1024*F20/80+D22*E22*1024*F22/80</f>
        <v>4352</v>
      </c>
      <c r="L9" s="109">
        <f t="shared" si="0"/>
        <v>21760</v>
      </c>
      <c r="M9" s="119">
        <f xml:space="preserve"> Resource!F24</f>
        <v>36864</v>
      </c>
      <c r="N9" s="124"/>
      <c r="O9" s="105">
        <f t="shared" si="1"/>
        <v>15104</v>
      </c>
      <c r="P9" s="121"/>
    </row>
    <row r="10" spans="2:16" ht="20.100000000000001" customHeight="1">
      <c r="B10" s="277"/>
      <c r="C10" s="75" t="s">
        <v>167</v>
      </c>
      <c r="D10" s="144">
        <v>0</v>
      </c>
      <c r="E10" s="76">
        <v>80</v>
      </c>
      <c r="F10" s="156">
        <v>0.25</v>
      </c>
      <c r="G10" s="121"/>
      <c r="I10" s="107" t="s">
        <v>142</v>
      </c>
      <c r="J10" s="108">
        <f xml:space="preserve"> D14*1024*E14/80 + D22*1024*E22/80</f>
        <v>1024</v>
      </c>
      <c r="K10" s="108">
        <f xml:space="preserve"> D14*1024*E14*F14/80 + D22*1024*E22*F22/80</f>
        <v>256</v>
      </c>
      <c r="L10" s="109">
        <f t="shared" si="0"/>
        <v>1280</v>
      </c>
      <c r="M10" s="119">
        <f xml:space="preserve"> Resource!F30</f>
        <v>8192</v>
      </c>
      <c r="N10" s="124"/>
      <c r="O10" s="105">
        <f t="shared" si="1"/>
        <v>6912</v>
      </c>
    </row>
    <row r="11" spans="2:16" ht="20.100000000000001" customHeight="1">
      <c r="B11" s="292" t="s">
        <v>128</v>
      </c>
      <c r="C11" s="71" t="s">
        <v>36</v>
      </c>
      <c r="D11" s="144">
        <v>0</v>
      </c>
      <c r="E11" s="72">
        <v>80</v>
      </c>
      <c r="F11" s="157">
        <v>0.25</v>
      </c>
      <c r="I11" s="107" t="s">
        <v>143</v>
      </c>
      <c r="J11" s="108">
        <f xml:space="preserve"> D19*1024/6*4+D21*1024*4/3</f>
        <v>10922.666666666666</v>
      </c>
      <c r="K11" s="108">
        <f xml:space="preserve"> D19*1024/6*4*F19+D21*1024*4/3*F21</f>
        <v>3713.7066666666669</v>
      </c>
      <c r="L11" s="109">
        <f t="shared" si="0"/>
        <v>14636.373333333333</v>
      </c>
      <c r="M11" s="119">
        <f>Resource!F33</f>
        <v>16384</v>
      </c>
      <c r="N11" s="124">
        <f>SUM(Resource!F110:F111)</f>
        <v>2048</v>
      </c>
      <c r="O11" s="105">
        <f t="shared" si="1"/>
        <v>3795.626666666667</v>
      </c>
      <c r="P11" s="121" t="s">
        <v>662</v>
      </c>
    </row>
    <row r="12" spans="2:16" ht="20.100000000000001" customHeight="1">
      <c r="B12" s="294"/>
      <c r="C12" s="71" t="s">
        <v>37</v>
      </c>
      <c r="D12" s="144">
        <v>0</v>
      </c>
      <c r="E12" s="72">
        <v>80</v>
      </c>
      <c r="F12" s="157">
        <v>0.25</v>
      </c>
      <c r="I12" s="118" t="s">
        <v>288</v>
      </c>
      <c r="J12" s="284"/>
      <c r="K12" s="285"/>
      <c r="L12" s="286"/>
      <c r="M12" s="273"/>
      <c r="N12" s="274"/>
      <c r="O12" s="105"/>
    </row>
    <row r="13" spans="2:16" ht="40.5">
      <c r="B13" s="294"/>
      <c r="C13" s="71" t="s">
        <v>44</v>
      </c>
      <c r="D13" s="144">
        <v>4</v>
      </c>
      <c r="E13" s="72">
        <v>80</v>
      </c>
      <c r="F13" s="157">
        <v>0.25</v>
      </c>
      <c r="G13" s="186" t="s">
        <v>653</v>
      </c>
      <c r="I13" s="110" t="s">
        <v>161</v>
      </c>
      <c r="J13" s="111">
        <f>D26*1024+D27*1024+D28*1024+2048+D23*1024/24</f>
        <v>13312</v>
      </c>
      <c r="K13" s="111"/>
      <c r="L13" s="112">
        <f>SUM(J13:K13)</f>
        <v>13312</v>
      </c>
      <c r="M13" s="120">
        <f xml:space="preserve"> Resource!F50</f>
        <v>24576</v>
      </c>
      <c r="N13" s="124"/>
      <c r="O13" s="105">
        <f t="shared" si="1"/>
        <v>11264</v>
      </c>
    </row>
    <row r="14" spans="2:16" ht="21" customHeight="1">
      <c r="B14" s="295"/>
      <c r="C14" s="71" t="s">
        <v>141</v>
      </c>
      <c r="D14" s="148">
        <v>0</v>
      </c>
      <c r="E14" s="72">
        <v>80</v>
      </c>
      <c r="F14" s="159">
        <v>0.25</v>
      </c>
      <c r="I14" s="110" t="s">
        <v>160</v>
      </c>
      <c r="J14" s="111">
        <f>J5</f>
        <v>8192</v>
      </c>
      <c r="K14" s="111"/>
      <c r="L14" s="112">
        <f>SUM(J14:K14)</f>
        <v>8192</v>
      </c>
      <c r="M14" s="120">
        <f>Resource!F42+Resource!F47</f>
        <v>32768</v>
      </c>
      <c r="N14" s="124"/>
      <c r="O14" s="105">
        <f t="shared" si="1"/>
        <v>24576</v>
      </c>
    </row>
    <row r="15" spans="2:16" ht="20.100000000000001" customHeight="1">
      <c r="B15" s="78" t="s">
        <v>129</v>
      </c>
      <c r="C15" s="73" t="s">
        <v>129</v>
      </c>
      <c r="D15" s="146">
        <v>2</v>
      </c>
      <c r="E15" s="74">
        <v>160</v>
      </c>
      <c r="F15" s="160">
        <v>0.25</v>
      </c>
      <c r="I15" s="110" t="s">
        <v>163</v>
      </c>
      <c r="J15" s="111">
        <f>J7</f>
        <v>0</v>
      </c>
      <c r="K15" s="111"/>
      <c r="L15" s="112">
        <f>SUM(D17)*1024</f>
        <v>0</v>
      </c>
      <c r="M15" s="120">
        <f xml:space="preserve"> Resource!F56</f>
        <v>0</v>
      </c>
      <c r="N15" s="124"/>
      <c r="O15" s="105">
        <f t="shared" si="1"/>
        <v>0</v>
      </c>
      <c r="P15" s="121"/>
    </row>
    <row r="16" spans="2:16" ht="20.100000000000001" customHeight="1">
      <c r="B16" s="275" t="s">
        <v>90</v>
      </c>
      <c r="C16" s="75" t="s">
        <v>124</v>
      </c>
      <c r="D16" s="75">
        <v>4</v>
      </c>
      <c r="E16" s="76">
        <v>160</v>
      </c>
      <c r="F16" s="68">
        <v>0</v>
      </c>
      <c r="I16" s="110" t="s">
        <v>165</v>
      </c>
      <c r="J16" s="111">
        <f>D18*1024+D22*1024</f>
        <v>17408</v>
      </c>
      <c r="K16" s="111"/>
      <c r="L16" s="112"/>
      <c r="M16" s="120">
        <f>Resource!F56</f>
        <v>0</v>
      </c>
      <c r="N16" s="124"/>
      <c r="O16" s="105">
        <f t="shared" si="1"/>
        <v>0</v>
      </c>
    </row>
    <row r="17" spans="2:16" ht="20.100000000000001" customHeight="1">
      <c r="B17" s="277"/>
      <c r="C17" s="75" t="s">
        <v>136</v>
      </c>
      <c r="D17" s="147">
        <v>0</v>
      </c>
      <c r="E17" s="76">
        <v>160</v>
      </c>
      <c r="F17" s="158">
        <v>0.25</v>
      </c>
      <c r="I17" s="110" t="s">
        <v>146</v>
      </c>
      <c r="J17" s="111"/>
      <c r="K17" s="111"/>
      <c r="L17" s="112">
        <f>D15/4*4*1024</f>
        <v>2048</v>
      </c>
      <c r="M17" s="270">
        <f>Resource!F41</f>
        <v>32768</v>
      </c>
      <c r="N17" s="217"/>
      <c r="O17" s="215">
        <f>M17*1/8-L17</f>
        <v>2048</v>
      </c>
      <c r="P17" s="121" t="s">
        <v>657</v>
      </c>
    </row>
    <row r="18" spans="2:16" ht="20.100000000000001" customHeight="1">
      <c r="B18" s="292" t="s">
        <v>658</v>
      </c>
      <c r="C18" s="71" t="s">
        <v>21</v>
      </c>
      <c r="D18" s="142">
        <v>16</v>
      </c>
      <c r="E18" s="72">
        <v>80</v>
      </c>
      <c r="F18" s="159">
        <v>0.25</v>
      </c>
      <c r="G18" s="121" t="s">
        <v>666</v>
      </c>
      <c r="I18" s="110" t="s">
        <v>283</v>
      </c>
      <c r="J18" s="111"/>
      <c r="K18" s="111"/>
      <c r="L18" s="112">
        <f>D15*2*2*1024</f>
        <v>8192</v>
      </c>
      <c r="M18" s="271"/>
      <c r="N18" s="217"/>
      <c r="O18" s="215">
        <f>M17*4/8-L18</f>
        <v>8192</v>
      </c>
      <c r="P18" s="121" t="s">
        <v>656</v>
      </c>
    </row>
    <row r="19" spans="2:16" ht="20.100000000000001" customHeight="1">
      <c r="B19" s="293"/>
      <c r="C19" s="71" t="s">
        <v>127</v>
      </c>
      <c r="D19" s="155">
        <v>16</v>
      </c>
      <c r="E19" s="72" t="s">
        <v>661</v>
      </c>
      <c r="F19" s="159">
        <v>0.34</v>
      </c>
      <c r="I19" s="110" t="s">
        <v>284</v>
      </c>
      <c r="J19" s="111"/>
      <c r="K19" s="111"/>
      <c r="L19" s="112">
        <f>L18/4</f>
        <v>2048</v>
      </c>
      <c r="M19" s="271"/>
      <c r="N19" s="217"/>
      <c r="O19" s="215">
        <f>M17*1/8-L19</f>
        <v>2048</v>
      </c>
      <c r="P19" s="121" t="s">
        <v>655</v>
      </c>
    </row>
    <row r="20" spans="2:16" s="121" customFormat="1" ht="20.100000000000001" customHeight="1">
      <c r="B20" s="292" t="s">
        <v>659</v>
      </c>
      <c r="C20" s="71" t="s">
        <v>660</v>
      </c>
      <c r="D20" s="155">
        <v>0</v>
      </c>
      <c r="E20" s="72">
        <v>160</v>
      </c>
      <c r="F20" s="159">
        <v>0.25</v>
      </c>
      <c r="I20" s="110" t="s">
        <v>285</v>
      </c>
      <c r="J20" s="111"/>
      <c r="K20" s="111"/>
      <c r="L20" s="112">
        <f>L18/2</f>
        <v>4096</v>
      </c>
      <c r="M20" s="272"/>
      <c r="N20" s="217"/>
      <c r="O20" s="215">
        <f>M17*2/8-L20</f>
        <v>4096</v>
      </c>
    </row>
    <row r="21" spans="2:16" s="121" customFormat="1" ht="20.100000000000001" customHeight="1">
      <c r="B21" s="293"/>
      <c r="C21" s="71" t="s">
        <v>127</v>
      </c>
      <c r="D21" s="155">
        <v>0</v>
      </c>
      <c r="E21" s="72"/>
      <c r="F21" s="159">
        <v>0.34</v>
      </c>
      <c r="I21" s="102" t="s">
        <v>289</v>
      </c>
      <c r="J21" s="287"/>
      <c r="K21" s="274"/>
      <c r="L21" s="288"/>
      <c r="M21" s="104"/>
      <c r="N21" s="91"/>
      <c r="O21" s="105"/>
    </row>
    <row r="22" spans="2:16" ht="20.100000000000001" customHeight="1" thickBot="1">
      <c r="B22" s="78" t="s">
        <v>22</v>
      </c>
      <c r="C22" s="73" t="s">
        <v>22</v>
      </c>
      <c r="D22" s="142">
        <v>1</v>
      </c>
      <c r="E22" s="149">
        <v>80</v>
      </c>
      <c r="F22" s="159">
        <v>0.25</v>
      </c>
      <c r="I22" s="115" t="s">
        <v>137</v>
      </c>
      <c r="J22" s="116"/>
      <c r="K22" s="116"/>
      <c r="L22" s="117">
        <f>D16*E16/80*1024</f>
        <v>8192</v>
      </c>
      <c r="M22" s="101"/>
      <c r="N22" s="125">
        <f xml:space="preserve"> SUM(Resource!F93:F108)</f>
        <v>8192</v>
      </c>
      <c r="O22" s="218">
        <f>M22+N22-L22</f>
        <v>0</v>
      </c>
    </row>
    <row r="23" spans="2:16" ht="20.100000000000001" customHeight="1">
      <c r="B23" s="77" t="s">
        <v>131</v>
      </c>
      <c r="C23" s="71" t="s">
        <v>132</v>
      </c>
      <c r="D23" s="142">
        <v>96</v>
      </c>
      <c r="E23" s="71">
        <v>80</v>
      </c>
      <c r="F23" s="151">
        <v>0.25</v>
      </c>
    </row>
    <row r="24" spans="2:16" ht="20.100000000000001" customHeight="1">
      <c r="B24" s="78" t="s">
        <v>64</v>
      </c>
      <c r="C24" s="73" t="s">
        <v>64</v>
      </c>
      <c r="D24" s="144">
        <v>0</v>
      </c>
      <c r="E24" s="74">
        <v>80</v>
      </c>
      <c r="F24" s="157">
        <v>0.25</v>
      </c>
      <c r="I24" s="121"/>
    </row>
    <row r="25" spans="2:16" ht="20.100000000000001" customHeight="1">
      <c r="D25" s="89"/>
      <c r="F25" s="3"/>
    </row>
    <row r="26" spans="2:16" ht="20.100000000000001" customHeight="1">
      <c r="B26" s="289" t="s">
        <v>147</v>
      </c>
      <c r="C26" s="9" t="s">
        <v>145</v>
      </c>
      <c r="D26" s="152">
        <v>4</v>
      </c>
      <c r="E26" s="83">
        <v>80</v>
      </c>
      <c r="F26" s="151">
        <v>0</v>
      </c>
    </row>
    <row r="27" spans="2:16" ht="20.100000000000001" customHeight="1">
      <c r="B27" s="290"/>
      <c r="C27" s="79" t="s">
        <v>57</v>
      </c>
      <c r="D27" s="143">
        <v>2</v>
      </c>
      <c r="E27" s="150">
        <v>80</v>
      </c>
      <c r="F27" s="154">
        <v>0</v>
      </c>
    </row>
    <row r="28" spans="2:16" ht="14.25" thickBot="1">
      <c r="B28" s="291"/>
      <c r="C28" s="80" t="s">
        <v>144</v>
      </c>
      <c r="D28" s="153">
        <v>1</v>
      </c>
      <c r="E28" s="84">
        <v>80</v>
      </c>
      <c r="F28" s="151">
        <v>0</v>
      </c>
    </row>
    <row r="29" spans="2:16">
      <c r="C29" s="3"/>
    </row>
    <row r="30" spans="2:16" ht="20.100000000000001" customHeight="1">
      <c r="C30" s="3"/>
    </row>
    <row r="31" spans="2:16" ht="20.100000000000001" customHeight="1">
      <c r="C31" s="3"/>
    </row>
    <row r="32" spans="2:16" ht="20.100000000000001" customHeight="1">
      <c r="C32" s="3"/>
    </row>
    <row r="33" spans="3:3" ht="20.100000000000001" customHeight="1">
      <c r="C33" s="3"/>
    </row>
    <row r="34" spans="3:3">
      <c r="C34" s="3"/>
    </row>
    <row r="35" spans="3:3">
      <c r="C35" s="3"/>
    </row>
    <row r="36" spans="3:3">
      <c r="C36" s="3"/>
    </row>
    <row r="37" spans="3:3">
      <c r="C37" s="3"/>
    </row>
    <row r="38" spans="3:3">
      <c r="C38" s="3"/>
    </row>
    <row r="39" spans="3:3">
      <c r="C39" s="3"/>
    </row>
    <row r="40" spans="3:3">
      <c r="C40" s="3"/>
    </row>
  </sheetData>
  <mergeCells count="14">
    <mergeCell ref="J21:L21"/>
    <mergeCell ref="B26:B28"/>
    <mergeCell ref="B18:B19"/>
    <mergeCell ref="B16:B17"/>
    <mergeCell ref="B11:B14"/>
    <mergeCell ref="B20:B21"/>
    <mergeCell ref="M17:M20"/>
    <mergeCell ref="M4:N4"/>
    <mergeCell ref="M12:N12"/>
    <mergeCell ref="B3:B10"/>
    <mergeCell ref="I2:L2"/>
    <mergeCell ref="J4:L4"/>
    <mergeCell ref="J12:L12"/>
    <mergeCell ref="M2:O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AH203"/>
  <sheetViews>
    <sheetView tabSelected="1" topLeftCell="A130" zoomScale="115" zoomScaleNormal="115" workbookViewId="0">
      <selection activeCell="I151" sqref="I151"/>
    </sheetView>
  </sheetViews>
  <sheetFormatPr defaultRowHeight="13.5"/>
  <cols>
    <col min="1" max="1" width="13.125" customWidth="1"/>
    <col min="2" max="2" width="33.875" style="85" bestFit="1" customWidth="1"/>
    <col min="3" max="3" width="11.875" style="3" customWidth="1"/>
    <col min="4" max="4" width="8.5" style="86" customWidth="1"/>
    <col min="5" max="5" width="15.5" style="86" customWidth="1"/>
    <col min="6" max="6" width="13.125" style="86" customWidth="1"/>
    <col min="7" max="7" width="13.25" style="121" hidden="1" customWidth="1"/>
    <col min="8" max="8" width="11.125" style="121" customWidth="1"/>
    <col min="9" max="9" width="33.875" style="121" bestFit="1" customWidth="1"/>
    <col min="10" max="10" width="8.625" bestFit="1" customWidth="1"/>
    <col min="11" max="11" width="8.625" style="121" customWidth="1"/>
    <col min="12" max="12" width="9.625" customWidth="1"/>
    <col min="13" max="13" width="9.625" style="121" customWidth="1"/>
    <col min="14" max="14" width="7.75" style="86" customWidth="1"/>
    <col min="15" max="15" width="15.625" bestFit="1" customWidth="1"/>
    <col min="16" max="16" width="10.125" customWidth="1"/>
    <col min="17" max="17" width="5.875" customWidth="1"/>
    <col min="18" max="18" width="5.25" hidden="1" customWidth="1"/>
    <col min="19" max="19" width="9" hidden="1" customWidth="1"/>
    <col min="20" max="20" width="4.75" hidden="1" customWidth="1"/>
    <col min="21" max="21" width="9" style="121" hidden="1" customWidth="1"/>
    <col min="22" max="22" width="9.625" style="121" hidden="1" customWidth="1"/>
    <col min="23" max="23" width="9" style="121" hidden="1" customWidth="1"/>
    <col min="24" max="24" width="15.625" style="121" bestFit="1" customWidth="1"/>
    <col min="25" max="25" width="14.5" bestFit="1" customWidth="1"/>
    <col min="27" max="27" width="17.125" customWidth="1"/>
    <col min="28" max="28" width="15" bestFit="1" customWidth="1"/>
    <col min="29" max="29" width="36.125" bestFit="1" customWidth="1"/>
    <col min="30" max="30" width="16.125" bestFit="1" customWidth="1"/>
    <col min="31" max="31" width="9" customWidth="1"/>
    <col min="32" max="32" width="7" bestFit="1" customWidth="1"/>
    <col min="35" max="35" width="4.875" customWidth="1"/>
  </cols>
  <sheetData>
    <row r="1" spans="1:34" ht="27.75" customHeight="1">
      <c r="B1" s="163" t="s">
        <v>546</v>
      </c>
      <c r="C1" s="86" t="s">
        <v>159</v>
      </c>
      <c r="E1" s="163" t="s">
        <v>582</v>
      </c>
      <c r="F1" s="86">
        <v>0</v>
      </c>
    </row>
    <row r="2" spans="1:34" ht="40.5">
      <c r="AA2" s="186" t="s">
        <v>599</v>
      </c>
      <c r="AB2" s="130" t="s">
        <v>577</v>
      </c>
      <c r="AC2" s="130" t="s">
        <v>578</v>
      </c>
      <c r="AD2" s="130" t="s">
        <v>579</v>
      </c>
    </row>
    <row r="3" spans="1:34">
      <c r="B3" s="126" t="s">
        <v>151</v>
      </c>
      <c r="C3" s="126" t="s">
        <v>158</v>
      </c>
      <c r="D3" s="169" t="s">
        <v>152</v>
      </c>
      <c r="E3" s="169" t="s">
        <v>156</v>
      </c>
      <c r="F3" s="169" t="s">
        <v>155</v>
      </c>
      <c r="G3" s="131"/>
      <c r="H3" s="140"/>
      <c r="I3" s="131"/>
      <c r="X3" s="182" t="s">
        <v>318</v>
      </c>
      <c r="Y3" s="130">
        <v>0</v>
      </c>
      <c r="Z3" s="130">
        <v>16384</v>
      </c>
      <c r="AA3" s="44">
        <v>1</v>
      </c>
      <c r="AB3" s="185">
        <v>0</v>
      </c>
      <c r="AC3" s="130" t="s">
        <v>525</v>
      </c>
      <c r="AD3" s="130">
        <v>0</v>
      </c>
      <c r="AG3" s="130">
        <v>0</v>
      </c>
      <c r="AH3" s="130">
        <f xml:space="preserve"> 24*1024</f>
        <v>24576</v>
      </c>
    </row>
    <row r="4" spans="1:34">
      <c r="A4" s="308" t="s">
        <v>551</v>
      </c>
      <c r="B4" s="297" t="s">
        <v>548</v>
      </c>
      <c r="C4" s="177">
        <v>2</v>
      </c>
      <c r="D4" s="198" t="s">
        <v>302</v>
      </c>
      <c r="E4" s="177">
        <f>IF(D4="yes",LOOKUP(C4,$Y$3:$Y$32,$Z$3:$Z$32)*IF($C$1="yes",2,LOOKUP(C4,$Y$3:$Y$32,$AA$3:$AA$32)),0)</f>
        <v>0</v>
      </c>
      <c r="F4" s="297">
        <f>SUM(E4:E8)</f>
        <v>8192</v>
      </c>
      <c r="G4" s="127">
        <f xml:space="preserve"> IF(D4 = "yes", C4, -1)</f>
        <v>-1</v>
      </c>
      <c r="H4" s="189"/>
      <c r="I4" s="127"/>
      <c r="X4" s="182" t="s">
        <v>319</v>
      </c>
      <c r="Y4" s="130">
        <v>1</v>
      </c>
      <c r="Z4" s="130">
        <v>16384</v>
      </c>
      <c r="AA4" s="44">
        <v>1</v>
      </c>
      <c r="AB4" s="185">
        <v>1</v>
      </c>
      <c r="AC4" s="130" t="s">
        <v>526</v>
      </c>
      <c r="AD4" s="141">
        <v>0</v>
      </c>
      <c r="AE4" s="121"/>
    </row>
    <row r="5" spans="1:34">
      <c r="A5" s="308"/>
      <c r="B5" s="297"/>
      <c r="C5" s="177">
        <v>6</v>
      </c>
      <c r="D5" s="206" t="s">
        <v>159</v>
      </c>
      <c r="E5" s="196">
        <f t="shared" ref="E5:E37" si="0">IF(D5="yes",LOOKUP(C5,$Y$3:$Y$32,$Z$3:$Z$32)*IF($C$1="yes",2,LOOKUP(C5,$Y$3:$Y$32,$AA$3:$AA$32)),0)</f>
        <v>0</v>
      </c>
      <c r="F5" s="297"/>
      <c r="G5" s="189">
        <f t="shared" ref="G5:G61" si="1" xml:space="preserve"> IF(D5 = "yes", C5, -1)</f>
        <v>-1</v>
      </c>
      <c r="H5" s="189"/>
      <c r="I5" s="127"/>
      <c r="X5" s="182" t="s">
        <v>320</v>
      </c>
      <c r="Y5" s="130">
        <v>2</v>
      </c>
      <c r="Z5" s="130">
        <v>16384</v>
      </c>
      <c r="AA5" s="44">
        <v>2</v>
      </c>
      <c r="AB5" s="185">
        <v>2</v>
      </c>
      <c r="AC5" s="130" t="s">
        <v>527</v>
      </c>
      <c r="AD5" s="141">
        <v>1</v>
      </c>
      <c r="AE5" s="121"/>
    </row>
    <row r="6" spans="1:34">
      <c r="A6" s="308"/>
      <c r="B6" s="297"/>
      <c r="C6" s="177">
        <v>7</v>
      </c>
      <c r="D6" s="206" t="s">
        <v>649</v>
      </c>
      <c r="E6" s="196">
        <f t="shared" si="0"/>
        <v>0</v>
      </c>
      <c r="F6" s="297"/>
      <c r="G6" s="189">
        <f t="shared" si="1"/>
        <v>-1</v>
      </c>
      <c r="H6" s="189"/>
      <c r="I6" s="127"/>
      <c r="X6" s="182" t="s">
        <v>321</v>
      </c>
      <c r="Y6" s="130">
        <v>3</v>
      </c>
      <c r="Z6" s="130">
        <v>8192</v>
      </c>
      <c r="AA6" s="44">
        <v>1</v>
      </c>
      <c r="AB6" s="185">
        <v>3</v>
      </c>
      <c r="AC6" s="130" t="s">
        <v>528</v>
      </c>
      <c r="AD6" s="141">
        <v>1</v>
      </c>
    </row>
    <row r="7" spans="1:34" s="121" customFormat="1">
      <c r="A7" s="308"/>
      <c r="B7" s="297"/>
      <c r="C7" s="177">
        <v>8</v>
      </c>
      <c r="D7" s="202" t="s">
        <v>585</v>
      </c>
      <c r="E7" s="196">
        <f t="shared" si="0"/>
        <v>8192</v>
      </c>
      <c r="F7" s="297"/>
      <c r="G7" s="189">
        <f t="shared" si="1"/>
        <v>8</v>
      </c>
      <c r="H7" s="189"/>
      <c r="I7" s="127"/>
      <c r="N7" s="86"/>
      <c r="X7" s="182" t="s">
        <v>322</v>
      </c>
      <c r="Y7" s="130">
        <v>4</v>
      </c>
      <c r="Z7" s="130">
        <v>8192</v>
      </c>
      <c r="AA7" s="44">
        <v>1</v>
      </c>
      <c r="AB7" s="185">
        <v>4</v>
      </c>
      <c r="AC7" s="130" t="s">
        <v>529</v>
      </c>
      <c r="AD7" s="141"/>
    </row>
    <row r="8" spans="1:34">
      <c r="A8" s="308"/>
      <c r="B8" s="297"/>
      <c r="C8" s="177">
        <v>9</v>
      </c>
      <c r="D8" s="198" t="s">
        <v>302</v>
      </c>
      <c r="E8" s="196">
        <f t="shared" si="0"/>
        <v>0</v>
      </c>
      <c r="F8" s="297"/>
      <c r="G8" s="189">
        <f t="shared" si="1"/>
        <v>-1</v>
      </c>
      <c r="H8" s="189"/>
      <c r="I8" s="127"/>
      <c r="X8" s="182" t="s">
        <v>323</v>
      </c>
      <c r="Y8" s="130">
        <v>5</v>
      </c>
      <c r="Z8" s="130">
        <v>4096</v>
      </c>
      <c r="AA8" s="44">
        <v>1</v>
      </c>
      <c r="AB8" s="185">
        <v>5</v>
      </c>
      <c r="AC8" s="130" t="s">
        <v>530</v>
      </c>
      <c r="AD8" s="141"/>
    </row>
    <row r="9" spans="1:34">
      <c r="A9" s="308"/>
      <c r="B9" s="299" t="s">
        <v>622</v>
      </c>
      <c r="C9" s="179">
        <v>5</v>
      </c>
      <c r="D9" s="208" t="s">
        <v>159</v>
      </c>
      <c r="E9" s="197">
        <f t="shared" si="0"/>
        <v>0</v>
      </c>
      <c r="F9" s="299">
        <f>SUM(E9:E11)</f>
        <v>8192</v>
      </c>
      <c r="G9" s="189">
        <f t="shared" si="1"/>
        <v>-1</v>
      </c>
      <c r="H9" s="189"/>
      <c r="I9" s="127"/>
      <c r="X9" s="184" t="s">
        <v>630</v>
      </c>
      <c r="Y9" s="130">
        <v>6</v>
      </c>
      <c r="Z9" s="130">
        <v>8192</v>
      </c>
      <c r="AA9" s="44">
        <v>1</v>
      </c>
      <c r="AB9" s="185">
        <v>6</v>
      </c>
      <c r="AC9" s="130" t="s">
        <v>531</v>
      </c>
      <c r="AD9" s="141">
        <v>0</v>
      </c>
    </row>
    <row r="10" spans="1:34">
      <c r="A10" s="308"/>
      <c r="B10" s="299"/>
      <c r="C10" s="179">
        <v>8</v>
      </c>
      <c r="D10" s="203" t="s">
        <v>302</v>
      </c>
      <c r="E10" s="197">
        <f t="shared" si="0"/>
        <v>0</v>
      </c>
      <c r="F10" s="299"/>
      <c r="G10" s="189">
        <f t="shared" si="1"/>
        <v>-1</v>
      </c>
      <c r="H10" s="189"/>
      <c r="I10" s="127"/>
      <c r="X10" s="184" t="s">
        <v>631</v>
      </c>
      <c r="Y10" s="130">
        <v>7</v>
      </c>
      <c r="Z10" s="130">
        <v>8192</v>
      </c>
      <c r="AA10" s="44">
        <v>1</v>
      </c>
      <c r="AB10" s="185">
        <v>7</v>
      </c>
      <c r="AC10" s="130" t="s">
        <v>532</v>
      </c>
      <c r="AD10" s="141"/>
    </row>
    <row r="11" spans="1:34">
      <c r="A11" s="308"/>
      <c r="B11" s="299"/>
      <c r="C11" s="187">
        <v>9</v>
      </c>
      <c r="D11" s="208" t="s">
        <v>650</v>
      </c>
      <c r="E11" s="197">
        <f t="shared" si="0"/>
        <v>8192</v>
      </c>
      <c r="F11" s="299"/>
      <c r="G11" s="189">
        <f t="shared" si="1"/>
        <v>9</v>
      </c>
      <c r="H11" s="189"/>
      <c r="I11" s="127"/>
      <c r="X11" s="184" t="s">
        <v>632</v>
      </c>
      <c r="Y11" s="130">
        <v>8</v>
      </c>
      <c r="Z11" s="130">
        <v>8192</v>
      </c>
      <c r="AA11" s="44">
        <v>1</v>
      </c>
      <c r="AB11" s="185">
        <v>8</v>
      </c>
      <c r="AC11" s="130" t="s">
        <v>533</v>
      </c>
      <c r="AD11" s="141">
        <v>1</v>
      </c>
    </row>
    <row r="12" spans="1:34">
      <c r="A12" s="308"/>
      <c r="B12" s="297" t="s">
        <v>549</v>
      </c>
      <c r="C12" s="177">
        <v>3</v>
      </c>
      <c r="D12" s="212" t="s">
        <v>159</v>
      </c>
      <c r="E12" s="196">
        <f t="shared" si="0"/>
        <v>0</v>
      </c>
      <c r="F12" s="297">
        <f>SUM(E12:E13)</f>
        <v>8192</v>
      </c>
      <c r="G12" s="189">
        <f t="shared" si="1"/>
        <v>-1</v>
      </c>
      <c r="H12" s="189"/>
      <c r="I12" s="127"/>
      <c r="X12" s="184" t="s">
        <v>633</v>
      </c>
      <c r="Y12" s="130">
        <v>9</v>
      </c>
      <c r="Z12" s="130">
        <v>8192</v>
      </c>
      <c r="AA12" s="44">
        <v>1</v>
      </c>
      <c r="AB12" s="185">
        <v>9</v>
      </c>
      <c r="AC12" s="130" t="s">
        <v>534</v>
      </c>
      <c r="AD12" s="141">
        <v>1</v>
      </c>
    </row>
    <row r="13" spans="1:34">
      <c r="A13" s="308"/>
      <c r="B13" s="297"/>
      <c r="C13" s="177">
        <v>4</v>
      </c>
      <c r="D13" s="206" t="s">
        <v>157</v>
      </c>
      <c r="E13" s="196">
        <f t="shared" si="0"/>
        <v>8192</v>
      </c>
      <c r="F13" s="297"/>
      <c r="G13" s="189">
        <f t="shared" si="1"/>
        <v>4</v>
      </c>
      <c r="H13" s="189"/>
      <c r="I13" s="127"/>
      <c r="X13" s="184" t="s">
        <v>634</v>
      </c>
      <c r="Y13" s="130">
        <v>10</v>
      </c>
      <c r="Z13" s="130">
        <v>8192</v>
      </c>
      <c r="AA13" s="44">
        <v>1</v>
      </c>
      <c r="AB13" s="185">
        <v>10</v>
      </c>
      <c r="AC13" s="130" t="s">
        <v>535</v>
      </c>
      <c r="AD13" s="141">
        <v>1</v>
      </c>
    </row>
    <row r="14" spans="1:34">
      <c r="A14" s="308"/>
      <c r="B14" s="299" t="s">
        <v>623</v>
      </c>
      <c r="C14" s="179">
        <v>0</v>
      </c>
      <c r="D14" s="208" t="s">
        <v>159</v>
      </c>
      <c r="E14" s="197">
        <f t="shared" si="0"/>
        <v>0</v>
      </c>
      <c r="F14" s="299">
        <f>SUM(E14:E23)</f>
        <v>131072</v>
      </c>
      <c r="G14" s="189">
        <f t="shared" si="1"/>
        <v>-1</v>
      </c>
      <c r="H14" s="189"/>
      <c r="I14" s="127"/>
      <c r="X14" s="183" t="s">
        <v>636</v>
      </c>
      <c r="Y14" s="130">
        <v>11</v>
      </c>
      <c r="Z14" s="130">
        <v>16384</v>
      </c>
      <c r="AA14" s="44">
        <v>1</v>
      </c>
      <c r="AB14" s="185">
        <v>11</v>
      </c>
      <c r="AC14" s="130" t="s">
        <v>536</v>
      </c>
      <c r="AD14" s="141"/>
    </row>
    <row r="15" spans="1:34" s="121" customFormat="1">
      <c r="A15" s="308"/>
      <c r="B15" s="299"/>
      <c r="C15" s="179">
        <v>1</v>
      </c>
      <c r="D15" s="179" t="s">
        <v>159</v>
      </c>
      <c r="E15" s="197">
        <f t="shared" si="0"/>
        <v>0</v>
      </c>
      <c r="F15" s="299"/>
      <c r="G15" s="189">
        <f t="shared" si="1"/>
        <v>-1</v>
      </c>
      <c r="H15" s="189"/>
      <c r="I15" s="127"/>
      <c r="N15" s="86"/>
      <c r="X15" s="183" t="s">
        <v>637</v>
      </c>
      <c r="Y15" s="130">
        <v>12</v>
      </c>
      <c r="Z15" s="130">
        <v>8192</v>
      </c>
      <c r="AA15" s="44">
        <v>1</v>
      </c>
      <c r="AB15" s="185">
        <v>12</v>
      </c>
      <c r="AC15" s="130" t="s">
        <v>537</v>
      </c>
      <c r="AD15" s="141">
        <v>1</v>
      </c>
    </row>
    <row r="16" spans="1:34">
      <c r="A16" s="308"/>
      <c r="B16" s="299"/>
      <c r="C16" s="179">
        <v>2</v>
      </c>
      <c r="D16" s="187" t="s">
        <v>159</v>
      </c>
      <c r="E16" s="197">
        <f t="shared" si="0"/>
        <v>0</v>
      </c>
      <c r="F16" s="299"/>
      <c r="G16" s="189">
        <f t="shared" si="1"/>
        <v>-1</v>
      </c>
      <c r="H16" s="189"/>
      <c r="I16" s="127"/>
      <c r="X16" s="183" t="s">
        <v>638</v>
      </c>
      <c r="Y16" s="130">
        <v>13</v>
      </c>
      <c r="Z16" s="130">
        <v>8192</v>
      </c>
      <c r="AA16" s="44">
        <v>1</v>
      </c>
      <c r="AB16" s="185">
        <v>13</v>
      </c>
      <c r="AC16" s="130" t="s">
        <v>538</v>
      </c>
      <c r="AD16" s="141"/>
    </row>
    <row r="17" spans="1:30">
      <c r="A17" s="308"/>
      <c r="B17" s="299"/>
      <c r="C17" s="179">
        <v>3</v>
      </c>
      <c r="D17" s="200" t="s">
        <v>302</v>
      </c>
      <c r="E17" s="197">
        <f t="shared" si="0"/>
        <v>0</v>
      </c>
      <c r="F17" s="299"/>
      <c r="G17" s="189">
        <f t="shared" si="1"/>
        <v>-1</v>
      </c>
      <c r="H17" s="189"/>
      <c r="I17" s="127"/>
      <c r="X17" s="183" t="s">
        <v>639</v>
      </c>
      <c r="Y17" s="130">
        <v>14</v>
      </c>
      <c r="Z17" s="130">
        <v>16384</v>
      </c>
      <c r="AA17" s="44">
        <v>1</v>
      </c>
      <c r="AB17" s="185">
        <v>14</v>
      </c>
      <c r="AC17" s="130" t="s">
        <v>539</v>
      </c>
      <c r="AD17" s="141">
        <v>1</v>
      </c>
    </row>
    <row r="18" spans="1:30">
      <c r="A18" s="308"/>
      <c r="B18" s="299"/>
      <c r="C18" s="179">
        <v>4</v>
      </c>
      <c r="D18" s="179" t="s">
        <v>159</v>
      </c>
      <c r="E18" s="197">
        <f t="shared" si="0"/>
        <v>0</v>
      </c>
      <c r="F18" s="299"/>
      <c r="G18" s="189">
        <f t="shared" si="1"/>
        <v>-1</v>
      </c>
      <c r="H18" s="189"/>
      <c r="I18" s="127"/>
      <c r="X18" s="183" t="s">
        <v>640</v>
      </c>
      <c r="Y18" s="130">
        <v>15</v>
      </c>
      <c r="Z18" s="130">
        <v>8192</v>
      </c>
      <c r="AA18" s="44">
        <v>2</v>
      </c>
      <c r="AB18" s="185">
        <v>15</v>
      </c>
      <c r="AC18" s="130" t="s">
        <v>540</v>
      </c>
      <c r="AD18" s="141"/>
    </row>
    <row r="19" spans="1:30" s="121" customFormat="1">
      <c r="A19" s="308"/>
      <c r="B19" s="299"/>
      <c r="C19" s="179">
        <v>5</v>
      </c>
      <c r="D19" s="203" t="s">
        <v>302</v>
      </c>
      <c r="E19" s="197">
        <f t="shared" si="0"/>
        <v>0</v>
      </c>
      <c r="F19" s="299"/>
      <c r="G19" s="189">
        <f t="shared" si="1"/>
        <v>-1</v>
      </c>
      <c r="H19" s="189"/>
      <c r="I19" s="127"/>
      <c r="N19" s="86"/>
      <c r="X19" s="183" t="s">
        <v>641</v>
      </c>
      <c r="Y19" s="130">
        <v>16</v>
      </c>
      <c r="Z19" s="130">
        <v>8192</v>
      </c>
      <c r="AA19" s="44">
        <v>2</v>
      </c>
      <c r="AB19" s="185">
        <v>16</v>
      </c>
      <c r="AC19" s="130" t="s">
        <v>541</v>
      </c>
      <c r="AD19" s="141"/>
    </row>
    <row r="20" spans="1:30" s="121" customFormat="1">
      <c r="A20" s="308"/>
      <c r="B20" s="299"/>
      <c r="C20" s="179">
        <v>23</v>
      </c>
      <c r="D20" s="179" t="s">
        <v>157</v>
      </c>
      <c r="E20" s="197">
        <f t="shared" si="0"/>
        <v>32768</v>
      </c>
      <c r="F20" s="299"/>
      <c r="G20" s="189">
        <f t="shared" si="1"/>
        <v>23</v>
      </c>
      <c r="H20" s="189"/>
      <c r="I20" s="127"/>
      <c r="N20" s="86"/>
      <c r="X20" s="130" t="s">
        <v>642</v>
      </c>
      <c r="Y20" s="130">
        <v>17</v>
      </c>
      <c r="Z20" s="130">
        <v>32768</v>
      </c>
      <c r="AA20" s="44">
        <v>1</v>
      </c>
      <c r="AB20" s="185">
        <v>17</v>
      </c>
      <c r="AC20" s="130" t="s">
        <v>542</v>
      </c>
      <c r="AD20" s="141"/>
    </row>
    <row r="21" spans="1:30">
      <c r="A21" s="308"/>
      <c r="B21" s="299"/>
      <c r="C21" s="179">
        <v>24</v>
      </c>
      <c r="D21" s="179" t="str">
        <f>D20</f>
        <v>yes</v>
      </c>
      <c r="E21" s="197">
        <f t="shared" si="0"/>
        <v>32768</v>
      </c>
      <c r="F21" s="299"/>
      <c r="G21" s="189">
        <f t="shared" si="1"/>
        <v>24</v>
      </c>
      <c r="H21" s="189"/>
      <c r="I21" s="127"/>
      <c r="X21" s="130" t="s">
        <v>643</v>
      </c>
      <c r="Y21" s="130">
        <v>18</v>
      </c>
      <c r="Z21" s="130">
        <v>8192</v>
      </c>
      <c r="AA21" s="44">
        <v>1</v>
      </c>
      <c r="AB21" s="185">
        <v>18</v>
      </c>
      <c r="AC21" s="130" t="s">
        <v>543</v>
      </c>
      <c r="AD21" s="141"/>
    </row>
    <row r="22" spans="1:30">
      <c r="A22" s="308"/>
      <c r="B22" s="299"/>
      <c r="C22" s="179">
        <v>25</v>
      </c>
      <c r="D22" s="210" t="str">
        <f>D21</f>
        <v>yes</v>
      </c>
      <c r="E22" s="197">
        <f t="shared" si="0"/>
        <v>32768</v>
      </c>
      <c r="F22" s="299"/>
      <c r="G22" s="189">
        <f t="shared" si="1"/>
        <v>25</v>
      </c>
      <c r="H22" s="189"/>
      <c r="I22" s="127"/>
      <c r="X22" s="130" t="s">
        <v>644</v>
      </c>
      <c r="Y22" s="130">
        <v>19</v>
      </c>
      <c r="Z22" s="130">
        <v>8192</v>
      </c>
      <c r="AA22" s="44">
        <v>1</v>
      </c>
      <c r="AB22" s="185">
        <v>19</v>
      </c>
      <c r="AC22" s="130" t="s">
        <v>544</v>
      </c>
      <c r="AD22" s="141"/>
    </row>
    <row r="23" spans="1:30">
      <c r="A23" s="308"/>
      <c r="B23" s="299"/>
      <c r="C23" s="179">
        <v>26</v>
      </c>
      <c r="D23" s="210" t="str">
        <f>D22</f>
        <v>yes</v>
      </c>
      <c r="E23" s="197">
        <f t="shared" si="0"/>
        <v>32768</v>
      </c>
      <c r="F23" s="299"/>
      <c r="G23" s="189">
        <f t="shared" si="1"/>
        <v>26</v>
      </c>
      <c r="H23" s="189"/>
      <c r="I23" s="127"/>
      <c r="L23" s="3"/>
      <c r="M23" s="86"/>
      <c r="X23" s="130" t="s">
        <v>645</v>
      </c>
      <c r="Y23" s="130">
        <v>20</v>
      </c>
      <c r="Z23" s="130">
        <v>4096</v>
      </c>
      <c r="AA23" s="44">
        <v>1</v>
      </c>
      <c r="AB23" s="185">
        <v>20</v>
      </c>
      <c r="AC23" s="130" t="s">
        <v>545</v>
      </c>
      <c r="AD23" s="141"/>
    </row>
    <row r="24" spans="1:30">
      <c r="A24" s="308"/>
      <c r="B24" s="298" t="s">
        <v>154</v>
      </c>
      <c r="C24" s="4">
        <v>0</v>
      </c>
      <c r="D24" s="213" t="s">
        <v>157</v>
      </c>
      <c r="E24" s="195">
        <f t="shared" si="0"/>
        <v>16384</v>
      </c>
      <c r="F24" s="298">
        <f>SUM(E24:E29)</f>
        <v>36864</v>
      </c>
      <c r="G24" s="189">
        <f t="shared" si="1"/>
        <v>0</v>
      </c>
      <c r="H24" s="189"/>
      <c r="I24" s="127"/>
      <c r="X24" s="130" t="s">
        <v>646</v>
      </c>
      <c r="Y24" s="130">
        <v>21</v>
      </c>
      <c r="Z24" s="130">
        <v>4096</v>
      </c>
      <c r="AA24" s="44">
        <v>1</v>
      </c>
    </row>
    <row r="25" spans="1:30">
      <c r="A25" s="308"/>
      <c r="B25" s="298"/>
      <c r="C25" s="4">
        <v>1</v>
      </c>
      <c r="D25" s="199" t="s">
        <v>585</v>
      </c>
      <c r="E25" s="195">
        <f t="shared" si="0"/>
        <v>16384</v>
      </c>
      <c r="F25" s="298"/>
      <c r="G25" s="189">
        <f t="shared" si="1"/>
        <v>1</v>
      </c>
      <c r="H25" s="189"/>
      <c r="I25" s="127"/>
      <c r="X25" s="130" t="s">
        <v>647</v>
      </c>
      <c r="Y25" s="130">
        <v>22</v>
      </c>
      <c r="Z25" s="130">
        <v>4096</v>
      </c>
      <c r="AA25" s="44">
        <v>1</v>
      </c>
    </row>
    <row r="26" spans="1:30">
      <c r="A26" s="308"/>
      <c r="B26" s="298"/>
      <c r="C26" s="4">
        <v>2</v>
      </c>
      <c r="D26" s="213" t="s">
        <v>159</v>
      </c>
      <c r="E26" s="195">
        <f t="shared" si="0"/>
        <v>0</v>
      </c>
      <c r="F26" s="298"/>
      <c r="G26" s="189">
        <f t="shared" si="1"/>
        <v>-1</v>
      </c>
      <c r="H26" s="189"/>
      <c r="I26" s="127"/>
      <c r="X26" s="182" t="s">
        <v>592</v>
      </c>
      <c r="Y26" s="130">
        <v>23</v>
      </c>
      <c r="Z26" s="130">
        <v>32768</v>
      </c>
      <c r="AA26" s="44">
        <v>1</v>
      </c>
    </row>
    <row r="27" spans="1:30" s="121" customFormat="1">
      <c r="A27" s="308"/>
      <c r="B27" s="298"/>
      <c r="C27" s="4">
        <v>3</v>
      </c>
      <c r="D27" s="213" t="s">
        <v>159</v>
      </c>
      <c r="E27" s="195">
        <f t="shared" si="0"/>
        <v>0</v>
      </c>
      <c r="F27" s="298"/>
      <c r="G27" s="189">
        <f t="shared" si="1"/>
        <v>-1</v>
      </c>
      <c r="H27" s="189"/>
      <c r="I27" s="127"/>
      <c r="N27" s="86"/>
      <c r="X27" s="182" t="s">
        <v>593</v>
      </c>
      <c r="Y27" s="130">
        <v>24</v>
      </c>
      <c r="Z27" s="130">
        <v>32768</v>
      </c>
      <c r="AA27" s="44">
        <f>AA26</f>
        <v>1</v>
      </c>
    </row>
    <row r="28" spans="1:30">
      <c r="A28" s="308"/>
      <c r="B28" s="298"/>
      <c r="C28" s="4">
        <v>4</v>
      </c>
      <c r="D28" s="4" t="s">
        <v>159</v>
      </c>
      <c r="E28" s="195">
        <f t="shared" si="0"/>
        <v>0</v>
      </c>
      <c r="F28" s="298"/>
      <c r="G28" s="189">
        <f t="shared" si="1"/>
        <v>-1</v>
      </c>
      <c r="H28" s="189"/>
      <c r="I28" s="127"/>
      <c r="X28" s="182" t="s">
        <v>594</v>
      </c>
      <c r="Y28" s="130">
        <v>25</v>
      </c>
      <c r="Z28" s="130">
        <v>32768</v>
      </c>
      <c r="AA28" s="44">
        <f>AA27</f>
        <v>1</v>
      </c>
    </row>
    <row r="29" spans="1:30" s="121" customFormat="1">
      <c r="A29" s="308"/>
      <c r="B29" s="298"/>
      <c r="C29" s="4">
        <v>5</v>
      </c>
      <c r="D29" s="213" t="s">
        <v>157</v>
      </c>
      <c r="E29" s="195">
        <f t="shared" si="0"/>
        <v>4096</v>
      </c>
      <c r="F29" s="298"/>
      <c r="G29" s="189">
        <f t="shared" si="1"/>
        <v>5</v>
      </c>
      <c r="H29" s="189"/>
      <c r="I29" s="174"/>
      <c r="N29" s="86"/>
      <c r="X29" s="182" t="s">
        <v>595</v>
      </c>
      <c r="Y29" s="130">
        <v>26</v>
      </c>
      <c r="Z29" s="130">
        <v>32768</v>
      </c>
      <c r="AA29" s="44">
        <f>AA28</f>
        <v>1</v>
      </c>
    </row>
    <row r="30" spans="1:30">
      <c r="A30" s="308"/>
      <c r="B30" s="299" t="s">
        <v>596</v>
      </c>
      <c r="C30" s="179">
        <v>9</v>
      </c>
      <c r="D30" s="208" t="s">
        <v>649</v>
      </c>
      <c r="E30" s="197">
        <f t="shared" si="0"/>
        <v>0</v>
      </c>
      <c r="F30" s="299">
        <f>SUM(E30:E31)</f>
        <v>8192</v>
      </c>
      <c r="G30" s="189">
        <f t="shared" si="1"/>
        <v>-1</v>
      </c>
      <c r="H30" s="189"/>
      <c r="I30" s="127"/>
      <c r="X30" s="183" t="s">
        <v>629</v>
      </c>
      <c r="Y30" s="130">
        <v>27</v>
      </c>
      <c r="Z30" s="130">
        <v>32768</v>
      </c>
      <c r="AA30" s="44">
        <v>1</v>
      </c>
    </row>
    <row r="31" spans="1:30">
      <c r="A31" s="308"/>
      <c r="B31" s="299"/>
      <c r="C31" s="179">
        <v>10</v>
      </c>
      <c r="D31" s="200" t="s">
        <v>585</v>
      </c>
      <c r="E31" s="197">
        <f t="shared" si="0"/>
        <v>8192</v>
      </c>
      <c r="F31" s="299"/>
      <c r="G31" s="189">
        <f t="shared" si="1"/>
        <v>10</v>
      </c>
      <c r="H31" s="189"/>
      <c r="I31" s="127"/>
      <c r="X31" s="183" t="s">
        <v>628</v>
      </c>
      <c r="Y31" s="130">
        <v>28</v>
      </c>
      <c r="Z31" s="130">
        <v>32768</v>
      </c>
      <c r="AA31" s="44">
        <f>AA30</f>
        <v>1</v>
      </c>
    </row>
    <row r="32" spans="1:30">
      <c r="A32" s="308"/>
      <c r="B32" s="4" t="s">
        <v>317</v>
      </c>
      <c r="C32" s="4">
        <v>0</v>
      </c>
      <c r="D32" s="213" t="s">
        <v>159</v>
      </c>
      <c r="E32" s="195">
        <f t="shared" si="0"/>
        <v>0</v>
      </c>
      <c r="F32" s="4">
        <f>SUM(E32:E32)</f>
        <v>0</v>
      </c>
      <c r="G32" s="189">
        <f t="shared" si="1"/>
        <v>-1</v>
      </c>
      <c r="H32" s="189"/>
      <c r="I32" s="128"/>
      <c r="X32" s="184" t="s">
        <v>635</v>
      </c>
      <c r="Y32" s="130">
        <v>29</v>
      </c>
      <c r="Z32" s="130">
        <v>32768</v>
      </c>
      <c r="AA32" s="44">
        <v>1</v>
      </c>
    </row>
    <row r="33" spans="1:30" s="121" customFormat="1">
      <c r="A33" s="308"/>
      <c r="B33" s="305" t="s">
        <v>625</v>
      </c>
      <c r="C33" s="191">
        <v>0</v>
      </c>
      <c r="D33" s="305" t="s">
        <v>302</v>
      </c>
      <c r="E33" s="197">
        <f t="shared" si="0"/>
        <v>0</v>
      </c>
      <c r="F33" s="305">
        <f>SUM(E33:E40)</f>
        <v>16384</v>
      </c>
      <c r="G33" s="192">
        <f t="shared" si="1"/>
        <v>-1</v>
      </c>
      <c r="H33" s="192"/>
      <c r="I33" s="128"/>
      <c r="N33" s="86"/>
      <c r="X33" s="193"/>
      <c r="Y33" s="193"/>
      <c r="Z33" s="193"/>
      <c r="AA33" s="194"/>
    </row>
    <row r="34" spans="1:30" s="89" customFormat="1">
      <c r="A34" s="308"/>
      <c r="B34" s="306"/>
      <c r="C34" s="181">
        <v>1</v>
      </c>
      <c r="D34" s="307"/>
      <c r="E34" s="197">
        <f>IF(D33="yes",LOOKUP(C34,$Y$3:$Y$32,$Z$3:$Z$32)*IF($C$1="yes",2,LOOKUP(C34,$Y$3:$Y$32,$AA$3:$AA$32)),0)</f>
        <v>0</v>
      </c>
      <c r="F34" s="306"/>
      <c r="G34" s="189">
        <f xml:space="preserve"> IF(D33 = "yes", C34, -1)</f>
        <v>-1</v>
      </c>
      <c r="H34" s="189"/>
      <c r="I34" s="127"/>
      <c r="K34" s="121"/>
      <c r="M34" s="121"/>
      <c r="X34" s="121"/>
      <c r="Y34" s="121"/>
      <c r="Z34" s="121"/>
      <c r="AA34"/>
    </row>
    <row r="35" spans="1:30">
      <c r="A35" s="308"/>
      <c r="B35" s="306"/>
      <c r="C35" s="181">
        <v>3</v>
      </c>
      <c r="D35" s="305" t="s">
        <v>159</v>
      </c>
      <c r="E35" s="197">
        <f t="shared" si="0"/>
        <v>0</v>
      </c>
      <c r="F35" s="306"/>
      <c r="G35" s="189">
        <f t="shared" si="1"/>
        <v>-1</v>
      </c>
      <c r="H35" s="189"/>
      <c r="I35" s="127"/>
      <c r="X35" s="89"/>
      <c r="Y35" s="89"/>
      <c r="Z35" s="89"/>
    </row>
    <row r="36" spans="1:30" s="121" customFormat="1">
      <c r="A36" s="308"/>
      <c r="B36" s="306"/>
      <c r="C36" s="181">
        <v>4</v>
      </c>
      <c r="D36" s="307"/>
      <c r="E36" s="197">
        <f>IF(D35="yes",LOOKUP(C36,$Y$3:$Y$32,$Z$3:$Z$32)*IF($C$1="yes",2,LOOKUP(C36,$Y$3:$Y$32,$AA$3:$AA$32)),0)</f>
        <v>0</v>
      </c>
      <c r="F36" s="306"/>
      <c r="G36" s="189">
        <f xml:space="preserve"> IF(D35 = "yes", C36, -1)</f>
        <v>-1</v>
      </c>
      <c r="H36" s="189"/>
      <c r="I36" s="127"/>
      <c r="N36" s="86"/>
      <c r="Y36"/>
      <c r="Z36"/>
    </row>
    <row r="37" spans="1:30" s="121" customFormat="1">
      <c r="A37" s="308"/>
      <c r="B37" s="306"/>
      <c r="C37" s="181">
        <v>6</v>
      </c>
      <c r="D37" s="305" t="s">
        <v>157</v>
      </c>
      <c r="E37" s="197">
        <f t="shared" si="0"/>
        <v>8192</v>
      </c>
      <c r="F37" s="306"/>
      <c r="G37" s="189">
        <f t="shared" si="1"/>
        <v>6</v>
      </c>
      <c r="H37" s="189"/>
      <c r="I37" s="127"/>
      <c r="N37" s="86"/>
    </row>
    <row r="38" spans="1:30">
      <c r="A38" s="308"/>
      <c r="B38" s="306"/>
      <c r="C38" s="181">
        <v>7</v>
      </c>
      <c r="D38" s="307"/>
      <c r="E38" s="197">
        <f>IF(D37="yes",LOOKUP(C38,$Y$3:$Y$32,$Z$3:$Z$32)*IF($C$1="yes",2,LOOKUP(C38,$Y$3:$Y$32,$AA$3:$AA$32)),0)</f>
        <v>8192</v>
      </c>
      <c r="F38" s="306"/>
      <c r="G38" s="189">
        <f xml:space="preserve"> IF(D37 = "yes", C38, -1)</f>
        <v>7</v>
      </c>
      <c r="H38" s="189"/>
      <c r="I38" s="127"/>
      <c r="Y38" s="121"/>
      <c r="Z38" s="121"/>
    </row>
    <row r="39" spans="1:30">
      <c r="A39" s="308"/>
      <c r="B39" s="306"/>
      <c r="C39" s="181">
        <v>8</v>
      </c>
      <c r="D39" s="305" t="s">
        <v>159</v>
      </c>
      <c r="E39" s="197">
        <f>IF(D39="yes",LOOKUP(C39,$Y$3:$Y$32,$Z$3:$Z$32)*IF($C$1="yes",2,LOOKUP(C39,$Y$3:$Y$32,$AA$3:$AA$32)),0)</f>
        <v>0</v>
      </c>
      <c r="F39" s="306"/>
      <c r="G39" s="189">
        <f t="shared" si="1"/>
        <v>-1</v>
      </c>
      <c r="H39" s="189"/>
      <c r="I39" s="127"/>
    </row>
    <row r="40" spans="1:30">
      <c r="A40" s="308"/>
      <c r="B40" s="307"/>
      <c r="C40" s="181">
        <v>10</v>
      </c>
      <c r="D40" s="307"/>
      <c r="E40" s="197">
        <f>IF(D39="yes",LOOKUP(C40,$Y$3:$Y$32,$Z$3:$Z$32)*IF($C$1="yes",2,LOOKUP(C40,$Y$3:$Y$32,$AA$3:$AA$32)),0)</f>
        <v>0</v>
      </c>
      <c r="F40" s="307"/>
      <c r="G40" s="189">
        <f xml:space="preserve"> IF(D39 = "yes", C40, -1)</f>
        <v>-1</v>
      </c>
      <c r="H40" s="189"/>
      <c r="I40" s="127"/>
    </row>
    <row r="41" spans="1:30">
      <c r="A41" s="308"/>
      <c r="B41" s="4" t="s">
        <v>550</v>
      </c>
      <c r="C41" s="4">
        <v>2</v>
      </c>
      <c r="D41" s="207" t="s">
        <v>157</v>
      </c>
      <c r="E41" s="195">
        <f>IF(D41="yes",LOOKUP(C41,$Y$3:$Y$32,$Z$3:$Z$32)*IF($C$1="yes",2,LOOKUP(C41,$Y$3:$Y$32,$AA$3:$AA$32)),0)</f>
        <v>32768</v>
      </c>
      <c r="F41" s="195">
        <f>SUM(E41:E41)</f>
        <v>32768</v>
      </c>
      <c r="G41" s="189">
        <f t="shared" si="1"/>
        <v>2</v>
      </c>
      <c r="H41" s="189"/>
      <c r="I41" s="127"/>
    </row>
    <row r="42" spans="1:30" s="121" customFormat="1">
      <c r="A42" s="308"/>
      <c r="B42" s="299" t="s">
        <v>597</v>
      </c>
      <c r="C42" s="179">
        <v>12</v>
      </c>
      <c r="D42" s="203" t="s">
        <v>302</v>
      </c>
      <c r="E42" s="197">
        <f t="shared" ref="E42:E80" si="2">IF(D42="yes",LOOKUP(C42,$Y$3:$Y$32,$Z$3:$Z$32)*IF($C$1="yes",2,LOOKUP(C42,$Y$3:$Y$32,$AA$3:$AA$32)),0)</f>
        <v>0</v>
      </c>
      <c r="F42" s="299">
        <f>SUM(E42:E46)</f>
        <v>16384</v>
      </c>
      <c r="G42" s="189">
        <f t="shared" si="1"/>
        <v>-1</v>
      </c>
      <c r="H42" s="189"/>
      <c r="I42" s="127"/>
      <c r="N42" s="86"/>
      <c r="Y42"/>
      <c r="Z42"/>
    </row>
    <row r="43" spans="1:30" s="121" customFormat="1">
      <c r="A43" s="308"/>
      <c r="B43" s="299"/>
      <c r="C43" s="179">
        <v>13</v>
      </c>
      <c r="D43" s="203" t="s">
        <v>302</v>
      </c>
      <c r="E43" s="197">
        <f t="shared" si="2"/>
        <v>0</v>
      </c>
      <c r="F43" s="299"/>
      <c r="G43" s="189">
        <f t="shared" si="1"/>
        <v>-1</v>
      </c>
      <c r="H43" s="189"/>
      <c r="I43" s="127"/>
      <c r="N43" s="86"/>
      <c r="AB43" s="129" t="s">
        <v>297</v>
      </c>
      <c r="AC43" s="129" t="s">
        <v>297</v>
      </c>
      <c r="AD43" s="129" t="s">
        <v>156</v>
      </c>
    </row>
    <row r="44" spans="1:30" s="121" customFormat="1">
      <c r="A44" s="308"/>
      <c r="B44" s="299"/>
      <c r="C44" s="179">
        <v>14</v>
      </c>
      <c r="D44" s="203" t="s">
        <v>302</v>
      </c>
      <c r="E44" s="197">
        <f t="shared" si="2"/>
        <v>0</v>
      </c>
      <c r="F44" s="299"/>
      <c r="G44" s="189">
        <f t="shared" si="1"/>
        <v>-1</v>
      </c>
      <c r="H44" s="189"/>
      <c r="I44" s="127"/>
      <c r="N44" s="86"/>
      <c r="X44" s="129" t="s">
        <v>297</v>
      </c>
      <c r="Y44" s="129" t="s">
        <v>297</v>
      </c>
      <c r="Z44" s="129" t="s">
        <v>156</v>
      </c>
      <c r="AB44" s="130" t="s">
        <v>324</v>
      </c>
      <c r="AC44" s="130">
        <v>0</v>
      </c>
      <c r="AD44" s="130">
        <v>1024</v>
      </c>
    </row>
    <row r="45" spans="1:30">
      <c r="A45" s="308"/>
      <c r="B45" s="299"/>
      <c r="C45" s="179">
        <v>15</v>
      </c>
      <c r="D45" s="203" t="s">
        <v>585</v>
      </c>
      <c r="E45" s="197">
        <f t="shared" si="2"/>
        <v>16384</v>
      </c>
      <c r="F45" s="299"/>
      <c r="G45" s="189">
        <f t="shared" si="1"/>
        <v>15</v>
      </c>
      <c r="H45" s="189"/>
      <c r="I45" s="127"/>
      <c r="X45" s="130" t="s">
        <v>600</v>
      </c>
      <c r="Y45" s="130">
        <v>0</v>
      </c>
      <c r="Z45" s="130">
        <v>1024</v>
      </c>
      <c r="AB45" s="130" t="s">
        <v>325</v>
      </c>
      <c r="AC45" s="130">
        <v>1</v>
      </c>
      <c r="AD45" s="130">
        <v>1024</v>
      </c>
    </row>
    <row r="46" spans="1:30">
      <c r="A46" s="308"/>
      <c r="B46" s="299"/>
      <c r="C46" s="179">
        <v>16</v>
      </c>
      <c r="D46" s="208" t="s">
        <v>159</v>
      </c>
      <c r="E46" s="197">
        <f t="shared" si="2"/>
        <v>0</v>
      </c>
      <c r="F46" s="299"/>
      <c r="G46" s="189">
        <f t="shared" si="1"/>
        <v>-1</v>
      </c>
      <c r="H46" s="189"/>
      <c r="I46" s="127"/>
      <c r="X46" s="130" t="s">
        <v>601</v>
      </c>
      <c r="Y46" s="130">
        <v>1</v>
      </c>
      <c r="Z46" s="130">
        <v>1024</v>
      </c>
      <c r="AB46" s="130" t="s">
        <v>326</v>
      </c>
      <c r="AC46" s="130">
        <v>2</v>
      </c>
      <c r="AD46" s="130">
        <v>1024</v>
      </c>
    </row>
    <row r="47" spans="1:30" s="121" customFormat="1">
      <c r="A47" s="308"/>
      <c r="B47" s="298" t="s">
        <v>624</v>
      </c>
      <c r="C47" s="4">
        <v>11</v>
      </c>
      <c r="D47" s="201" t="s">
        <v>302</v>
      </c>
      <c r="E47" s="195">
        <f t="shared" si="2"/>
        <v>0</v>
      </c>
      <c r="F47" s="195">
        <f>SUM(E47:E49)</f>
        <v>16384</v>
      </c>
      <c r="G47" s="189">
        <f t="shared" si="1"/>
        <v>-1</v>
      </c>
      <c r="H47" s="189"/>
      <c r="I47" s="127"/>
      <c r="N47" s="86"/>
      <c r="X47" s="130" t="s">
        <v>619</v>
      </c>
      <c r="Y47" s="130">
        <v>2</v>
      </c>
      <c r="Z47" s="130">
        <v>1024</v>
      </c>
      <c r="AB47" s="130" t="s">
        <v>327</v>
      </c>
      <c r="AC47" s="130">
        <v>3</v>
      </c>
      <c r="AD47" s="130">
        <v>1024</v>
      </c>
    </row>
    <row r="48" spans="1:30" s="121" customFormat="1">
      <c r="A48" s="308"/>
      <c r="B48" s="298"/>
      <c r="C48" s="4">
        <v>15</v>
      </c>
      <c r="D48" s="195" t="s">
        <v>159</v>
      </c>
      <c r="E48" s="195">
        <f t="shared" si="2"/>
        <v>0</v>
      </c>
      <c r="F48" s="195"/>
      <c r="G48" s="189">
        <f t="shared" si="1"/>
        <v>-1</v>
      </c>
      <c r="H48" s="189"/>
      <c r="I48" s="127"/>
      <c r="N48" s="86"/>
      <c r="X48" s="130" t="s">
        <v>620</v>
      </c>
      <c r="Y48" s="130">
        <v>3</v>
      </c>
      <c r="Z48" s="130">
        <v>1024</v>
      </c>
      <c r="AB48" s="130" t="s">
        <v>328</v>
      </c>
      <c r="AC48" s="130">
        <v>4</v>
      </c>
      <c r="AD48" s="130">
        <v>1024</v>
      </c>
    </row>
    <row r="49" spans="1:30">
      <c r="A49" s="308"/>
      <c r="B49" s="298"/>
      <c r="C49" s="4">
        <v>16</v>
      </c>
      <c r="D49" s="201" t="s">
        <v>585</v>
      </c>
      <c r="E49" s="195">
        <f t="shared" si="2"/>
        <v>16384</v>
      </c>
      <c r="F49" s="195"/>
      <c r="G49" s="189">
        <f t="shared" si="1"/>
        <v>16</v>
      </c>
      <c r="H49" s="189"/>
      <c r="I49" s="127"/>
      <c r="X49" s="130" t="s">
        <v>602</v>
      </c>
      <c r="Y49" s="130">
        <v>4</v>
      </c>
      <c r="Z49" s="130">
        <v>1024</v>
      </c>
      <c r="AB49" s="130" t="s">
        <v>329</v>
      </c>
      <c r="AC49" s="130">
        <v>5</v>
      </c>
      <c r="AD49" s="130">
        <v>1024</v>
      </c>
    </row>
    <row r="50" spans="1:30">
      <c r="A50" s="308"/>
      <c r="B50" s="299" t="s">
        <v>162</v>
      </c>
      <c r="C50" s="179">
        <v>11</v>
      </c>
      <c r="D50" s="214" t="s">
        <v>157</v>
      </c>
      <c r="E50" s="197">
        <f t="shared" si="2"/>
        <v>16384</v>
      </c>
      <c r="F50" s="299">
        <f>SUM(E50:E55)</f>
        <v>24576</v>
      </c>
      <c r="G50" s="189">
        <f t="shared" si="1"/>
        <v>11</v>
      </c>
      <c r="H50" s="189"/>
      <c r="I50" s="127"/>
      <c r="X50" s="130" t="s">
        <v>603</v>
      </c>
      <c r="Y50" s="130">
        <v>5</v>
      </c>
      <c r="Z50" s="130">
        <v>1024</v>
      </c>
      <c r="AB50" s="130" t="s">
        <v>330</v>
      </c>
      <c r="AC50" s="130">
        <v>6</v>
      </c>
      <c r="AD50" s="130">
        <v>1024</v>
      </c>
    </row>
    <row r="51" spans="1:30">
      <c r="A51" s="308"/>
      <c r="B51" s="299"/>
      <c r="C51" s="179">
        <v>12</v>
      </c>
      <c r="D51" s="208" t="s">
        <v>650</v>
      </c>
      <c r="E51" s="197">
        <f t="shared" si="2"/>
        <v>8192</v>
      </c>
      <c r="F51" s="299"/>
      <c r="G51" s="189">
        <f t="shared" si="1"/>
        <v>12</v>
      </c>
      <c r="H51" s="189"/>
      <c r="I51" s="127"/>
      <c r="X51" s="130" t="s">
        <v>604</v>
      </c>
      <c r="Y51" s="130">
        <v>6</v>
      </c>
      <c r="Z51" s="130">
        <v>1024</v>
      </c>
      <c r="AB51" s="130" t="s">
        <v>331</v>
      </c>
      <c r="AC51" s="130">
        <v>7</v>
      </c>
      <c r="AD51" s="130">
        <v>1024</v>
      </c>
    </row>
    <row r="52" spans="1:30">
      <c r="A52" s="308"/>
      <c r="B52" s="299"/>
      <c r="C52" s="179">
        <v>13</v>
      </c>
      <c r="D52" s="214" t="s">
        <v>159</v>
      </c>
      <c r="E52" s="197">
        <f t="shared" si="2"/>
        <v>0</v>
      </c>
      <c r="F52" s="299"/>
      <c r="G52" s="189">
        <f t="shared" si="1"/>
        <v>-1</v>
      </c>
      <c r="H52" s="189"/>
      <c r="I52" s="127"/>
      <c r="X52" s="130" t="s">
        <v>605</v>
      </c>
      <c r="Y52" s="130">
        <v>7</v>
      </c>
      <c r="Z52" s="130">
        <v>1024</v>
      </c>
      <c r="AB52" s="130" t="s">
        <v>332</v>
      </c>
      <c r="AC52" s="130">
        <v>8</v>
      </c>
      <c r="AD52" s="130">
        <v>2048</v>
      </c>
    </row>
    <row r="53" spans="1:30">
      <c r="A53" s="308"/>
      <c r="B53" s="299"/>
      <c r="C53" s="179">
        <v>14</v>
      </c>
      <c r="D53" s="208" t="s">
        <v>159</v>
      </c>
      <c r="E53" s="197">
        <f t="shared" si="2"/>
        <v>0</v>
      </c>
      <c r="F53" s="299"/>
      <c r="G53" s="189">
        <f t="shared" si="1"/>
        <v>-1</v>
      </c>
      <c r="H53" s="189"/>
      <c r="I53" s="127"/>
      <c r="X53" s="130" t="s">
        <v>606</v>
      </c>
      <c r="Y53" s="130">
        <v>8</v>
      </c>
      <c r="Z53" s="130">
        <v>1024</v>
      </c>
      <c r="AB53" s="130" t="s">
        <v>333</v>
      </c>
      <c r="AC53" s="130">
        <v>9</v>
      </c>
      <c r="AD53" s="130">
        <v>2048</v>
      </c>
    </row>
    <row r="54" spans="1:30">
      <c r="A54" s="308"/>
      <c r="B54" s="299"/>
      <c r="C54" s="179">
        <v>27</v>
      </c>
      <c r="D54" s="208" t="s">
        <v>159</v>
      </c>
      <c r="E54" s="197">
        <f t="shared" si="2"/>
        <v>0</v>
      </c>
      <c r="F54" s="299"/>
      <c r="G54" s="189">
        <f t="shared" si="1"/>
        <v>-1</v>
      </c>
      <c r="H54" s="189"/>
      <c r="I54" s="127"/>
      <c r="X54" s="130" t="s">
        <v>607</v>
      </c>
      <c r="Y54" s="130">
        <v>9</v>
      </c>
      <c r="Z54" s="130">
        <v>1024</v>
      </c>
      <c r="AB54" s="130" t="s">
        <v>334</v>
      </c>
      <c r="AC54" s="130">
        <v>10</v>
      </c>
      <c r="AD54" s="130">
        <v>2048</v>
      </c>
    </row>
    <row r="55" spans="1:30">
      <c r="A55" s="308"/>
      <c r="B55" s="299"/>
      <c r="C55" s="179">
        <v>28</v>
      </c>
      <c r="D55" s="190" t="str">
        <f>D54</f>
        <v>no</v>
      </c>
      <c r="E55" s="197">
        <f t="shared" si="2"/>
        <v>0</v>
      </c>
      <c r="F55" s="299"/>
      <c r="G55" s="189">
        <f t="shared" si="1"/>
        <v>-1</v>
      </c>
      <c r="H55" s="189"/>
      <c r="X55" s="130" t="s">
        <v>608</v>
      </c>
      <c r="Y55" s="130">
        <v>10</v>
      </c>
      <c r="Z55" s="130">
        <v>1024</v>
      </c>
      <c r="AB55" s="130" t="s">
        <v>335</v>
      </c>
      <c r="AC55" s="130">
        <v>11</v>
      </c>
      <c r="AD55" s="130">
        <v>2048</v>
      </c>
    </row>
    <row r="56" spans="1:30">
      <c r="A56" s="308"/>
      <c r="B56" s="4" t="s">
        <v>164</v>
      </c>
      <c r="C56" s="4">
        <v>11</v>
      </c>
      <c r="D56" s="213" t="s">
        <v>159</v>
      </c>
      <c r="E56" s="195">
        <f t="shared" si="2"/>
        <v>0</v>
      </c>
      <c r="F56" s="195">
        <f>SUM(E56:E56)</f>
        <v>0</v>
      </c>
      <c r="G56" s="189">
        <f t="shared" si="1"/>
        <v>-1</v>
      </c>
      <c r="H56" s="189"/>
      <c r="X56" s="130" t="s">
        <v>609</v>
      </c>
      <c r="Y56" s="130">
        <v>11</v>
      </c>
      <c r="Z56" s="130">
        <v>1024</v>
      </c>
    </row>
    <row r="57" spans="1:30">
      <c r="A57" s="308"/>
      <c r="B57" s="299" t="s">
        <v>166</v>
      </c>
      <c r="C57" s="179">
        <v>11</v>
      </c>
      <c r="D57" s="179" t="s">
        <v>621</v>
      </c>
      <c r="E57" s="197">
        <f t="shared" si="2"/>
        <v>0</v>
      </c>
      <c r="F57" s="299">
        <f xml:space="preserve"> SUM(E57:E63)</f>
        <v>24576</v>
      </c>
      <c r="G57" s="189">
        <f t="shared" si="1"/>
        <v>-1</v>
      </c>
      <c r="H57" s="189"/>
      <c r="X57" s="130" t="s">
        <v>610</v>
      </c>
      <c r="Y57" s="130">
        <v>12</v>
      </c>
      <c r="Z57" s="130">
        <v>1024</v>
      </c>
    </row>
    <row r="58" spans="1:30">
      <c r="A58" s="308"/>
      <c r="B58" s="299"/>
      <c r="C58" s="179">
        <v>12</v>
      </c>
      <c r="D58" s="214" t="s">
        <v>159</v>
      </c>
      <c r="E58" s="197">
        <f t="shared" si="2"/>
        <v>0</v>
      </c>
      <c r="F58" s="299"/>
      <c r="G58" s="189">
        <f t="shared" si="1"/>
        <v>-1</v>
      </c>
      <c r="H58" s="189"/>
      <c r="X58" s="130" t="s">
        <v>611</v>
      </c>
      <c r="Y58" s="130">
        <v>13</v>
      </c>
      <c r="Z58" s="130">
        <v>1024</v>
      </c>
    </row>
    <row r="59" spans="1:30">
      <c r="A59" s="308"/>
      <c r="B59" s="299"/>
      <c r="C59" s="179">
        <v>13</v>
      </c>
      <c r="D59" s="214" t="s">
        <v>157</v>
      </c>
      <c r="E59" s="197">
        <f t="shared" si="2"/>
        <v>8192</v>
      </c>
      <c r="F59" s="299"/>
      <c r="G59" s="189">
        <f t="shared" si="1"/>
        <v>13</v>
      </c>
      <c r="H59" s="189"/>
      <c r="X59" s="130" t="s">
        <v>612</v>
      </c>
      <c r="Y59" s="130">
        <v>14</v>
      </c>
      <c r="Z59" s="130">
        <v>1024</v>
      </c>
    </row>
    <row r="60" spans="1:30">
      <c r="A60" s="308"/>
      <c r="B60" s="299"/>
      <c r="C60" s="179">
        <v>14</v>
      </c>
      <c r="D60" s="208" t="s">
        <v>157</v>
      </c>
      <c r="E60" s="197">
        <f t="shared" si="2"/>
        <v>16384</v>
      </c>
      <c r="F60" s="299"/>
      <c r="G60" s="189">
        <f t="shared" si="1"/>
        <v>14</v>
      </c>
      <c r="H60" s="189"/>
      <c r="L60" s="121"/>
      <c r="X60" s="130" t="s">
        <v>613</v>
      </c>
      <c r="Y60" s="130">
        <v>15</v>
      </c>
      <c r="Z60" s="130">
        <v>2048</v>
      </c>
    </row>
    <row r="61" spans="1:30">
      <c r="A61" s="308"/>
      <c r="B61" s="299"/>
      <c r="C61" s="179">
        <v>16</v>
      </c>
      <c r="D61" s="203" t="s">
        <v>302</v>
      </c>
      <c r="E61" s="197">
        <f t="shared" si="2"/>
        <v>0</v>
      </c>
      <c r="F61" s="299"/>
      <c r="G61" s="189">
        <f t="shared" si="1"/>
        <v>-1</v>
      </c>
      <c r="H61" s="189"/>
      <c r="X61" s="130" t="s">
        <v>614</v>
      </c>
      <c r="Y61" s="130">
        <v>16</v>
      </c>
      <c r="Z61" s="130">
        <v>2048</v>
      </c>
    </row>
    <row r="62" spans="1:30">
      <c r="A62" s="308"/>
      <c r="B62" s="299"/>
      <c r="C62" s="179">
        <v>27</v>
      </c>
      <c r="D62" s="214" t="s">
        <v>159</v>
      </c>
      <c r="E62" s="197">
        <f t="shared" si="2"/>
        <v>0</v>
      </c>
      <c r="F62" s="299"/>
      <c r="G62" s="189">
        <f t="shared" ref="G62:G80" si="3" xml:space="preserve"> IF(D62 = "yes", C62, -1)</f>
        <v>-1</v>
      </c>
      <c r="H62" s="189"/>
      <c r="X62" s="130" t="s">
        <v>615</v>
      </c>
      <c r="Y62" s="130">
        <v>17</v>
      </c>
      <c r="Z62" s="130">
        <v>2048</v>
      </c>
    </row>
    <row r="63" spans="1:30">
      <c r="A63" s="308"/>
      <c r="B63" s="299"/>
      <c r="C63" s="179">
        <v>28</v>
      </c>
      <c r="D63" s="214" t="s">
        <v>665</v>
      </c>
      <c r="E63" s="197">
        <f t="shared" si="2"/>
        <v>0</v>
      </c>
      <c r="F63" s="299"/>
      <c r="G63" s="189">
        <f t="shared" si="3"/>
        <v>-1</v>
      </c>
      <c r="H63" s="189"/>
      <c r="X63" s="130" t="s">
        <v>616</v>
      </c>
      <c r="Y63" s="130">
        <v>18</v>
      </c>
      <c r="Z63" s="130">
        <v>2048</v>
      </c>
    </row>
    <row r="64" spans="1:30">
      <c r="A64" s="308"/>
      <c r="B64" s="301" t="s">
        <v>552</v>
      </c>
      <c r="C64" s="4">
        <v>17</v>
      </c>
      <c r="D64" s="207" t="s">
        <v>157</v>
      </c>
      <c r="E64" s="195">
        <f t="shared" si="2"/>
        <v>32768</v>
      </c>
      <c r="F64" s="301">
        <f xml:space="preserve"> SUM(E64:E68)</f>
        <v>65536</v>
      </c>
      <c r="G64" s="189">
        <f t="shared" si="3"/>
        <v>17</v>
      </c>
      <c r="H64" s="189"/>
      <c r="N64" s="173"/>
      <c r="O64" s="162"/>
      <c r="X64"/>
    </row>
    <row r="65" spans="1:27">
      <c r="A65" s="308"/>
      <c r="B65" s="302"/>
      <c r="C65" s="4">
        <v>18</v>
      </c>
      <c r="D65" s="207" t="s">
        <v>159</v>
      </c>
      <c r="E65" s="195">
        <f t="shared" si="2"/>
        <v>0</v>
      </c>
      <c r="F65" s="302"/>
      <c r="G65" s="189">
        <f t="shared" si="3"/>
        <v>-1</v>
      </c>
      <c r="H65" s="189"/>
      <c r="N65" s="128"/>
      <c r="O65" s="127"/>
      <c r="U65"/>
    </row>
    <row r="66" spans="1:27">
      <c r="A66" s="308"/>
      <c r="B66" s="302"/>
      <c r="C66" s="4">
        <v>19</v>
      </c>
      <c r="D66" s="4" t="s">
        <v>159</v>
      </c>
      <c r="E66" s="195">
        <f t="shared" si="2"/>
        <v>0</v>
      </c>
      <c r="F66" s="302"/>
      <c r="G66" s="189">
        <f t="shared" si="3"/>
        <v>-1</v>
      </c>
      <c r="H66" s="189"/>
      <c r="N66" s="128"/>
      <c r="O66" s="127"/>
      <c r="U66"/>
    </row>
    <row r="67" spans="1:27">
      <c r="A67" s="308"/>
      <c r="B67" s="302"/>
      <c r="C67" s="4">
        <v>21</v>
      </c>
      <c r="D67" s="201" t="s">
        <v>648</v>
      </c>
      <c r="E67" s="195">
        <f t="shared" si="2"/>
        <v>0</v>
      </c>
      <c r="F67" s="302"/>
      <c r="G67" s="189">
        <f t="shared" si="3"/>
        <v>-1</v>
      </c>
      <c r="H67" s="189"/>
      <c r="N67" s="128"/>
      <c r="O67" s="127"/>
      <c r="U67"/>
    </row>
    <row r="68" spans="1:27" s="121" customFormat="1">
      <c r="A68" s="308"/>
      <c r="B68" s="303"/>
      <c r="C68" s="4">
        <v>29</v>
      </c>
      <c r="D68" s="4" t="s">
        <v>157</v>
      </c>
      <c r="E68" s="195">
        <f t="shared" si="2"/>
        <v>32768</v>
      </c>
      <c r="F68" s="303"/>
      <c r="G68" s="189">
        <f t="shared" si="3"/>
        <v>29</v>
      </c>
      <c r="H68" s="189"/>
      <c r="N68" s="128"/>
      <c r="O68" s="127"/>
      <c r="Z68"/>
    </row>
    <row r="69" spans="1:27" s="121" customFormat="1">
      <c r="A69" s="308"/>
      <c r="B69" s="299" t="s">
        <v>598</v>
      </c>
      <c r="C69" s="179">
        <v>19</v>
      </c>
      <c r="D69" s="208" t="s">
        <v>159</v>
      </c>
      <c r="E69" s="197">
        <f t="shared" si="2"/>
        <v>0</v>
      </c>
      <c r="F69" s="305">
        <f xml:space="preserve"> SUM(E69:E71)</f>
        <v>8192</v>
      </c>
      <c r="G69" s="189">
        <f t="shared" si="3"/>
        <v>-1</v>
      </c>
      <c r="H69" s="189"/>
      <c r="N69" s="128"/>
      <c r="O69" s="127"/>
      <c r="Z69"/>
    </row>
    <row r="70" spans="1:27">
      <c r="A70" s="308"/>
      <c r="B70" s="304"/>
      <c r="C70" s="179">
        <v>21</v>
      </c>
      <c r="D70" s="203" t="s">
        <v>585</v>
      </c>
      <c r="E70" s="197">
        <f t="shared" si="2"/>
        <v>4096</v>
      </c>
      <c r="F70" s="306"/>
      <c r="G70" s="189">
        <f t="shared" si="3"/>
        <v>21</v>
      </c>
      <c r="H70" s="189"/>
      <c r="N70" s="128"/>
      <c r="O70" s="127"/>
      <c r="U70"/>
      <c r="Y70" s="121"/>
    </row>
    <row r="71" spans="1:27">
      <c r="A71" s="308"/>
      <c r="B71" s="304"/>
      <c r="C71" s="179">
        <v>22</v>
      </c>
      <c r="D71" s="179" t="s">
        <v>157</v>
      </c>
      <c r="E71" s="197">
        <f t="shared" si="2"/>
        <v>4096</v>
      </c>
      <c r="F71" s="307"/>
      <c r="G71" s="189">
        <f t="shared" si="3"/>
        <v>22</v>
      </c>
      <c r="H71" s="189"/>
      <c r="N71" s="128"/>
      <c r="O71" s="127"/>
      <c r="Q71" s="89"/>
      <c r="R71" s="89"/>
      <c r="S71" s="89"/>
      <c r="T71" s="89"/>
      <c r="U71" s="89"/>
      <c r="Y71" s="121"/>
      <c r="Z71" s="121"/>
    </row>
    <row r="72" spans="1:27" s="121" customFormat="1">
      <c r="A72" s="308"/>
      <c r="B72" s="298" t="s">
        <v>553</v>
      </c>
      <c r="C72" s="4">
        <v>18</v>
      </c>
      <c r="D72" s="4" t="s">
        <v>159</v>
      </c>
      <c r="E72" s="195">
        <f t="shared" si="2"/>
        <v>0</v>
      </c>
      <c r="F72" s="301">
        <f xml:space="preserve"> SUM(E72:E76)</f>
        <v>4096</v>
      </c>
      <c r="G72" s="189">
        <f t="shared" si="3"/>
        <v>-1</v>
      </c>
      <c r="H72" s="189"/>
      <c r="N72" s="128"/>
      <c r="O72" s="127"/>
    </row>
    <row r="73" spans="1:27">
      <c r="A73" s="308"/>
      <c r="B73" s="298"/>
      <c r="C73" s="4">
        <v>19</v>
      </c>
      <c r="D73" s="4" t="s">
        <v>159</v>
      </c>
      <c r="E73" s="195">
        <f t="shared" si="2"/>
        <v>0</v>
      </c>
      <c r="F73" s="302"/>
      <c r="G73" s="189">
        <f t="shared" si="3"/>
        <v>-1</v>
      </c>
      <c r="H73" s="189"/>
      <c r="N73" s="128"/>
      <c r="O73" s="127"/>
      <c r="U73"/>
      <c r="Y73" s="121"/>
    </row>
    <row r="74" spans="1:27" s="121" customFormat="1">
      <c r="A74" s="308"/>
      <c r="B74" s="298"/>
      <c r="C74" s="4">
        <v>20</v>
      </c>
      <c r="D74" s="4" t="s">
        <v>157</v>
      </c>
      <c r="E74" s="195">
        <f t="shared" si="2"/>
        <v>4096</v>
      </c>
      <c r="F74" s="302"/>
      <c r="G74" s="189">
        <f t="shared" si="3"/>
        <v>20</v>
      </c>
      <c r="H74" s="189"/>
      <c r="N74" s="128"/>
      <c r="O74" s="127"/>
      <c r="Z74"/>
    </row>
    <row r="75" spans="1:27">
      <c r="A75" s="308"/>
      <c r="B75" s="298"/>
      <c r="C75" s="4">
        <v>21</v>
      </c>
      <c r="D75" s="4" t="s">
        <v>159</v>
      </c>
      <c r="E75" s="195">
        <f t="shared" si="2"/>
        <v>0</v>
      </c>
      <c r="F75" s="302"/>
      <c r="G75" s="189">
        <f t="shared" si="3"/>
        <v>-1</v>
      </c>
      <c r="H75" s="189"/>
      <c r="N75" s="128"/>
      <c r="O75" s="127"/>
      <c r="U75"/>
      <c r="Y75" s="121"/>
      <c r="Z75" s="121"/>
      <c r="AA75" s="89"/>
    </row>
    <row r="76" spans="1:27" s="121" customFormat="1">
      <c r="A76" s="308"/>
      <c r="B76" s="298"/>
      <c r="C76" s="4">
        <v>22</v>
      </c>
      <c r="D76" s="4" t="s">
        <v>159</v>
      </c>
      <c r="E76" s="195">
        <f t="shared" si="2"/>
        <v>0</v>
      </c>
      <c r="F76" s="303"/>
      <c r="G76" s="189">
        <f t="shared" si="3"/>
        <v>-1</v>
      </c>
      <c r="H76" s="189"/>
      <c r="N76" s="128"/>
      <c r="O76" s="127"/>
      <c r="Z76"/>
    </row>
    <row r="77" spans="1:27">
      <c r="A77" s="308"/>
      <c r="B77" s="305" t="s">
        <v>554</v>
      </c>
      <c r="C77" s="179">
        <v>17</v>
      </c>
      <c r="D77" s="208" t="s">
        <v>649</v>
      </c>
      <c r="E77" s="197">
        <f t="shared" si="2"/>
        <v>0</v>
      </c>
      <c r="F77" s="305">
        <f xml:space="preserve"> SUM(E77:E80)</f>
        <v>16384</v>
      </c>
      <c r="G77" s="189">
        <f t="shared" si="3"/>
        <v>-1</v>
      </c>
      <c r="H77" s="189"/>
      <c r="J77" s="128"/>
      <c r="K77" s="128"/>
      <c r="L77" s="128"/>
      <c r="M77" s="128"/>
      <c r="N77" s="128"/>
      <c r="O77" s="127"/>
      <c r="U77"/>
      <c r="Y77" s="121"/>
      <c r="Z77" s="121"/>
    </row>
    <row r="78" spans="1:27">
      <c r="A78" s="308"/>
      <c r="B78" s="306"/>
      <c r="C78" s="179">
        <v>18</v>
      </c>
      <c r="D78" s="208" t="s">
        <v>157</v>
      </c>
      <c r="E78" s="197">
        <f t="shared" si="2"/>
        <v>8192</v>
      </c>
      <c r="F78" s="306"/>
      <c r="G78" s="189">
        <f t="shared" si="3"/>
        <v>18</v>
      </c>
      <c r="H78" s="189"/>
      <c r="J78" s="128"/>
      <c r="K78" s="128"/>
      <c r="L78" s="128"/>
      <c r="M78" s="128"/>
      <c r="N78" s="128"/>
      <c r="O78" s="127"/>
      <c r="U78"/>
      <c r="Y78" s="121"/>
    </row>
    <row r="79" spans="1:27">
      <c r="A79" s="308"/>
      <c r="B79" s="306"/>
      <c r="C79" s="179">
        <v>19</v>
      </c>
      <c r="D79" s="208" t="s">
        <v>157</v>
      </c>
      <c r="E79" s="197">
        <f t="shared" si="2"/>
        <v>8192</v>
      </c>
      <c r="F79" s="306"/>
      <c r="G79" s="189">
        <f t="shared" si="3"/>
        <v>19</v>
      </c>
      <c r="H79" s="189"/>
      <c r="J79" s="128"/>
      <c r="K79" s="128"/>
      <c r="L79" s="128"/>
      <c r="M79" s="128"/>
      <c r="N79" s="128"/>
      <c r="O79" s="127"/>
      <c r="U79"/>
      <c r="Y79" s="121"/>
      <c r="Z79" s="121"/>
    </row>
    <row r="80" spans="1:27">
      <c r="A80" s="308"/>
      <c r="B80" s="307"/>
      <c r="C80" s="179">
        <v>22</v>
      </c>
      <c r="D80" s="187" t="s">
        <v>627</v>
      </c>
      <c r="E80" s="197">
        <f t="shared" si="2"/>
        <v>0</v>
      </c>
      <c r="F80" s="307"/>
      <c r="G80" s="189">
        <f t="shared" si="3"/>
        <v>-1</v>
      </c>
      <c r="H80" s="189"/>
      <c r="I80" s="128"/>
      <c r="J80" s="128"/>
      <c r="K80" s="128"/>
      <c r="L80" s="128"/>
      <c r="M80" s="128"/>
      <c r="N80" s="128"/>
      <c r="O80" s="127"/>
      <c r="U80"/>
      <c r="Y80" s="121"/>
    </row>
    <row r="81" spans="1:26">
      <c r="A81" s="121"/>
      <c r="G81" s="128"/>
      <c r="H81" s="128"/>
      <c r="I81" s="128"/>
      <c r="J81" s="128"/>
      <c r="K81" s="128"/>
      <c r="L81" s="128"/>
      <c r="M81" s="128"/>
      <c r="N81" s="128"/>
      <c r="O81" s="127"/>
      <c r="U81"/>
      <c r="Y81" s="121"/>
    </row>
    <row r="82" spans="1:26">
      <c r="A82" s="121"/>
      <c r="G82" s="309"/>
      <c r="H82" s="309"/>
      <c r="I82" s="128"/>
      <c r="J82" s="128"/>
      <c r="K82" s="128"/>
      <c r="L82" s="128"/>
      <c r="M82" s="128"/>
      <c r="N82" s="128"/>
      <c r="O82" s="127"/>
      <c r="U82"/>
      <c r="Y82" s="121"/>
    </row>
    <row r="83" spans="1:26">
      <c r="A83" s="121"/>
      <c r="G83" s="309"/>
      <c r="H83" s="309"/>
      <c r="I83" s="128"/>
      <c r="J83" s="128"/>
      <c r="K83" s="128"/>
      <c r="L83" s="128"/>
      <c r="M83" s="128"/>
      <c r="N83" s="128"/>
      <c r="O83" s="127"/>
      <c r="P83" s="89"/>
      <c r="U83"/>
      <c r="Y83" s="121"/>
    </row>
    <row r="84" spans="1:26">
      <c r="A84" s="121"/>
      <c r="C84" s="86"/>
      <c r="G84" s="309"/>
      <c r="H84" s="309"/>
      <c r="I84" s="128"/>
      <c r="J84" s="128"/>
      <c r="K84" s="128"/>
      <c r="L84" s="128"/>
      <c r="M84" s="128"/>
      <c r="N84" s="128"/>
      <c r="O84" s="127"/>
      <c r="U84"/>
      <c r="Y84" s="121"/>
    </row>
    <row r="85" spans="1:26">
      <c r="A85" s="121"/>
      <c r="G85" s="309"/>
      <c r="H85" s="309"/>
      <c r="I85" s="128"/>
      <c r="J85" s="128"/>
      <c r="K85" s="128"/>
      <c r="L85" s="128"/>
      <c r="M85" s="128"/>
      <c r="N85" s="128"/>
      <c r="O85" s="127"/>
      <c r="U85"/>
      <c r="Y85" s="121"/>
    </row>
    <row r="86" spans="1:26">
      <c r="B86" s="126" t="s">
        <v>298</v>
      </c>
      <c r="C86" s="126" t="s">
        <v>297</v>
      </c>
      <c r="D86" s="169" t="s">
        <v>152</v>
      </c>
      <c r="E86" s="169" t="s">
        <v>156</v>
      </c>
      <c r="F86" s="169" t="s">
        <v>113</v>
      </c>
      <c r="G86" s="167"/>
      <c r="H86" s="167"/>
      <c r="I86" s="171"/>
      <c r="J86" s="167"/>
      <c r="K86" s="167"/>
      <c r="L86" s="167"/>
      <c r="M86" s="167"/>
      <c r="N86" s="167"/>
      <c r="O86" s="127"/>
      <c r="U86"/>
      <c r="Y86" s="121"/>
      <c r="Z86" s="89"/>
    </row>
    <row r="87" spans="1:26" s="121" customFormat="1" ht="16.5" customHeight="1">
      <c r="A87" s="296" t="s">
        <v>568</v>
      </c>
      <c r="B87" s="180" t="s">
        <v>555</v>
      </c>
      <c r="C87" s="122">
        <v>0</v>
      </c>
      <c r="D87" s="170" t="s">
        <v>157</v>
      </c>
      <c r="E87" s="170">
        <f>IF(D87="yes",LOOKUP(C87,Y45:Y63,Z45:Z63),0)</f>
        <v>1024</v>
      </c>
      <c r="F87" s="180">
        <f>SUM(E87:E87)</f>
        <v>1024</v>
      </c>
      <c r="G87" s="189">
        <f xml:space="preserve"> IF(D87 = "yes", C87, -1)</f>
        <v>0</v>
      </c>
      <c r="H87" s="167"/>
      <c r="I87" s="171"/>
      <c r="J87" s="167"/>
      <c r="K87" s="167"/>
      <c r="L87" s="167"/>
      <c r="M87" s="167"/>
      <c r="N87" s="167"/>
      <c r="O87" s="127"/>
      <c r="Z87"/>
    </row>
    <row r="88" spans="1:26" ht="17.25" customHeight="1">
      <c r="A88" s="296"/>
      <c r="B88" s="178" t="s">
        <v>556</v>
      </c>
      <c r="C88" s="176">
        <v>1</v>
      </c>
      <c r="D88" s="211" t="s">
        <v>157</v>
      </c>
      <c r="E88" s="177">
        <f>IF(D88="yes",LOOKUP(C88,Y45:Y63,Z45:Z63),0)</f>
        <v>1024</v>
      </c>
      <c r="F88" s="178">
        <f xml:space="preserve"> SUM(E88:E88)</f>
        <v>1024</v>
      </c>
      <c r="G88" s="189">
        <f t="shared" ref="G88:G111" si="4" xml:space="preserve"> IF(D88 = "yes", C88, -1)</f>
        <v>1</v>
      </c>
      <c r="H88" s="127"/>
      <c r="I88" s="127"/>
      <c r="J88" s="127"/>
      <c r="K88" s="127"/>
      <c r="L88" s="127"/>
      <c r="M88" s="127"/>
      <c r="N88" s="127"/>
      <c r="O88" s="127"/>
      <c r="U88"/>
      <c r="Y88" s="121"/>
    </row>
    <row r="89" spans="1:26">
      <c r="A89" s="296"/>
      <c r="B89" s="298" t="s">
        <v>617</v>
      </c>
      <c r="C89" s="4">
        <v>2</v>
      </c>
      <c r="D89" s="4" t="s">
        <v>157</v>
      </c>
      <c r="E89" s="4">
        <f>IF(D89="yes",LOOKUP(C89,Y45:Y63,Z45:Z63),0)</f>
        <v>1024</v>
      </c>
      <c r="F89" s="298">
        <f xml:space="preserve"> SUM(E89:E90)</f>
        <v>1024</v>
      </c>
      <c r="G89" s="189">
        <f t="shared" si="4"/>
        <v>2</v>
      </c>
      <c r="U89"/>
      <c r="Y89" s="121"/>
    </row>
    <row r="90" spans="1:26" s="121" customFormat="1">
      <c r="A90" s="296"/>
      <c r="B90" s="298"/>
      <c r="C90" s="4">
        <v>15</v>
      </c>
      <c r="D90" s="204" t="s">
        <v>159</v>
      </c>
      <c r="E90" s="4">
        <f>IF(D90="yes",LOOKUP(C90,Y45:Y63,Z45:Z63),0)</f>
        <v>0</v>
      </c>
      <c r="F90" s="298"/>
      <c r="G90" s="189">
        <f t="shared" si="4"/>
        <v>-1</v>
      </c>
      <c r="N90" s="86"/>
    </row>
    <row r="91" spans="1:26" s="121" customFormat="1">
      <c r="A91" s="296"/>
      <c r="B91" s="300" t="s">
        <v>618</v>
      </c>
      <c r="C91" s="88">
        <v>3</v>
      </c>
      <c r="D91" s="172" t="s">
        <v>157</v>
      </c>
      <c r="E91" s="172">
        <f>IF(D91="yes",LOOKUP(C91,Y45:Y63,Z45:Z63),0)</f>
        <v>1024</v>
      </c>
      <c r="F91" s="300">
        <f xml:space="preserve"> SUM(E91:E92)</f>
        <v>1024</v>
      </c>
      <c r="G91" s="189">
        <f t="shared" si="4"/>
        <v>3</v>
      </c>
      <c r="N91" s="86"/>
      <c r="Z91"/>
    </row>
    <row r="92" spans="1:26" s="121" customFormat="1">
      <c r="A92" s="296"/>
      <c r="B92" s="300"/>
      <c r="C92" s="88">
        <v>16</v>
      </c>
      <c r="D92" s="205" t="s">
        <v>159</v>
      </c>
      <c r="E92" s="172">
        <f>IF(D92="yes",LOOKUP(C92,Y45:Y63,Z45:Z63),0)</f>
        <v>0</v>
      </c>
      <c r="F92" s="300"/>
      <c r="G92" s="189">
        <f t="shared" si="4"/>
        <v>-1</v>
      </c>
      <c r="Z92"/>
    </row>
    <row r="93" spans="1:26" s="121" customFormat="1">
      <c r="A93" s="296"/>
      <c r="B93" s="297" t="s">
        <v>557</v>
      </c>
      <c r="C93" s="122">
        <v>4</v>
      </c>
      <c r="D93" s="170" t="s">
        <v>157</v>
      </c>
      <c r="E93" s="170">
        <f>IF(D93="yes",LOOKUP(C93,Y45:Y63,Z45:Z63),0)</f>
        <v>1024</v>
      </c>
      <c r="F93" s="297">
        <f xml:space="preserve"> SUM(E93:E94)</f>
        <v>1024</v>
      </c>
      <c r="G93" s="189">
        <f t="shared" si="4"/>
        <v>4</v>
      </c>
    </row>
    <row r="94" spans="1:26" s="121" customFormat="1">
      <c r="A94" s="296"/>
      <c r="B94" s="297"/>
      <c r="C94" s="122">
        <v>15</v>
      </c>
      <c r="D94" s="206" t="s">
        <v>159</v>
      </c>
      <c r="E94" s="170">
        <f>IF(D94="yes",LOOKUP(C94,Y45:Y63,Z45:Z63),0)</f>
        <v>0</v>
      </c>
      <c r="F94" s="297"/>
      <c r="G94" s="189">
        <f t="shared" si="4"/>
        <v>-1</v>
      </c>
    </row>
    <row r="95" spans="1:26" s="121" customFormat="1">
      <c r="A95" s="296"/>
      <c r="B95" s="300" t="s">
        <v>558</v>
      </c>
      <c r="C95" s="88">
        <v>5</v>
      </c>
      <c r="D95" s="172" t="s">
        <v>157</v>
      </c>
      <c r="E95" s="172">
        <f>IF(D95="yes",LOOKUP(C95,Y45:Y63,Z45:Z63),0)</f>
        <v>1024</v>
      </c>
      <c r="F95" s="300">
        <f xml:space="preserve"> SUM(E95:E96)</f>
        <v>1024</v>
      </c>
      <c r="G95" s="189">
        <f t="shared" si="4"/>
        <v>5</v>
      </c>
      <c r="H95"/>
      <c r="I95"/>
      <c r="J95"/>
      <c r="K95"/>
      <c r="L95"/>
      <c r="M95"/>
      <c r="R95"/>
      <c r="S95"/>
      <c r="T95"/>
      <c r="U95"/>
    </row>
    <row r="96" spans="1:26" s="121" customFormat="1">
      <c r="A96" s="296"/>
      <c r="B96" s="300"/>
      <c r="C96" s="88">
        <v>16</v>
      </c>
      <c r="D96" s="209" t="s">
        <v>159</v>
      </c>
      <c r="E96" s="172">
        <f>IF(D96="yes",LOOKUP(C96,Y45:Y63,Z45:Z63),0)</f>
        <v>0</v>
      </c>
      <c r="F96" s="300"/>
      <c r="G96" s="189">
        <f t="shared" si="4"/>
        <v>-1</v>
      </c>
      <c r="H96" s="3"/>
      <c r="I96" s="3"/>
      <c r="J96"/>
      <c r="N96"/>
      <c r="P96"/>
      <c r="R96" s="86"/>
      <c r="S96"/>
      <c r="T96"/>
      <c r="U96"/>
    </row>
    <row r="97" spans="1:21" s="121" customFormat="1">
      <c r="A97" s="296"/>
      <c r="B97" s="297" t="s">
        <v>559</v>
      </c>
      <c r="C97" s="122">
        <v>6</v>
      </c>
      <c r="D97" s="170" t="s">
        <v>157</v>
      </c>
      <c r="E97" s="170">
        <f>IF(D97="yes",LOOKUP(C97,Y45:Y63,Z45:Z63),0)</f>
        <v>1024</v>
      </c>
      <c r="F97" s="297">
        <f xml:space="preserve"> SUM(E97:E98)</f>
        <v>1024</v>
      </c>
      <c r="G97" s="189">
        <f t="shared" si="4"/>
        <v>6</v>
      </c>
      <c r="H97" s="3"/>
      <c r="I97" s="3"/>
      <c r="J97"/>
      <c r="N97"/>
      <c r="P97"/>
      <c r="R97" s="86"/>
      <c r="S97"/>
      <c r="T97"/>
      <c r="U97"/>
    </row>
    <row r="98" spans="1:21" s="121" customFormat="1">
      <c r="A98" s="296"/>
      <c r="B98" s="297"/>
      <c r="C98" s="122">
        <v>17</v>
      </c>
      <c r="D98" s="206" t="s">
        <v>159</v>
      </c>
      <c r="E98" s="170">
        <f>IF(D98="yes",LOOKUP(C98,Y45:Y63,Z45:Z63),0)</f>
        <v>0</v>
      </c>
      <c r="F98" s="297"/>
      <c r="G98" s="189">
        <f t="shared" si="4"/>
        <v>-1</v>
      </c>
      <c r="H98" s="3"/>
      <c r="I98" s="3"/>
      <c r="J98"/>
      <c r="N98"/>
      <c r="P98"/>
      <c r="R98" s="86"/>
      <c r="S98"/>
      <c r="T98"/>
      <c r="U98"/>
    </row>
    <row r="99" spans="1:21" s="121" customFormat="1">
      <c r="A99" s="296"/>
      <c r="B99" s="300" t="s">
        <v>560</v>
      </c>
      <c r="C99" s="88">
        <v>7</v>
      </c>
      <c r="D99" s="172" t="s">
        <v>157</v>
      </c>
      <c r="E99" s="172">
        <f>IF(D99="yes",LOOKUP(C99,Y45:Y63,Z45:Z63),0)</f>
        <v>1024</v>
      </c>
      <c r="F99" s="300">
        <f xml:space="preserve"> SUM(E99:E100)</f>
        <v>1024</v>
      </c>
      <c r="G99" s="189">
        <f t="shared" si="4"/>
        <v>7</v>
      </c>
      <c r="H99" s="3"/>
      <c r="I99" s="3"/>
      <c r="J99"/>
      <c r="N99"/>
      <c r="P99"/>
      <c r="R99" s="86"/>
      <c r="S99"/>
      <c r="T99"/>
      <c r="U99"/>
    </row>
    <row r="100" spans="1:21" s="121" customFormat="1">
      <c r="A100" s="296"/>
      <c r="B100" s="300"/>
      <c r="C100" s="88">
        <v>18</v>
      </c>
      <c r="D100" s="209" t="s">
        <v>159</v>
      </c>
      <c r="E100" s="172">
        <f>IF(D100="yes",LOOKUP(C100,Y45:Y63,Z45:Z63),0)</f>
        <v>0</v>
      </c>
      <c r="F100" s="300"/>
      <c r="G100" s="189">
        <f t="shared" si="4"/>
        <v>-1</v>
      </c>
      <c r="H100" s="3"/>
      <c r="I100" s="3"/>
      <c r="J100"/>
      <c r="N100"/>
      <c r="P100"/>
      <c r="R100" s="86"/>
      <c r="S100"/>
      <c r="T100"/>
      <c r="U100"/>
    </row>
    <row r="101" spans="1:21" s="121" customFormat="1">
      <c r="A101" s="296"/>
      <c r="B101" s="297" t="s">
        <v>561</v>
      </c>
      <c r="C101" s="122">
        <v>8</v>
      </c>
      <c r="D101" s="170" t="s">
        <v>157</v>
      </c>
      <c r="E101" s="170">
        <f>IF(D101="yes",LOOKUP(C101,Y45:Y63,Z45:Z63),0)</f>
        <v>1024</v>
      </c>
      <c r="F101" s="297">
        <f xml:space="preserve"> SUM(E101:E102)</f>
        <v>1024</v>
      </c>
      <c r="G101" s="189">
        <f t="shared" si="4"/>
        <v>8</v>
      </c>
      <c r="H101" s="86"/>
      <c r="I101" s="86"/>
      <c r="R101" s="86"/>
    </row>
    <row r="102" spans="1:21" s="121" customFormat="1">
      <c r="A102" s="296"/>
      <c r="B102" s="297"/>
      <c r="C102" s="122">
        <v>15</v>
      </c>
      <c r="D102" s="170" t="s">
        <v>159</v>
      </c>
      <c r="E102" s="170">
        <f>IF(D102="yes",LOOKUP(C102,Y45:Y63,Z45:Z63),0)</f>
        <v>0</v>
      </c>
      <c r="F102" s="297"/>
      <c r="G102" s="189">
        <f t="shared" si="4"/>
        <v>-1</v>
      </c>
      <c r="H102" s="86"/>
      <c r="I102" s="86"/>
      <c r="R102" s="86"/>
    </row>
    <row r="103" spans="1:21" s="121" customFormat="1">
      <c r="A103" s="296"/>
      <c r="B103" s="300" t="s">
        <v>562</v>
      </c>
      <c r="C103" s="88">
        <v>9</v>
      </c>
      <c r="D103" s="172" t="s">
        <v>157</v>
      </c>
      <c r="E103" s="172">
        <f>IF(D103="yes",LOOKUP(C103,Y45:Y63,Z45:Z63),0)</f>
        <v>1024</v>
      </c>
      <c r="F103" s="300">
        <f xml:space="preserve"> SUM(E103:E104)</f>
        <v>1024</v>
      </c>
      <c r="G103" s="189">
        <f t="shared" si="4"/>
        <v>9</v>
      </c>
      <c r="H103" s="86"/>
      <c r="I103" s="86"/>
      <c r="R103" s="86"/>
    </row>
    <row r="104" spans="1:21" s="121" customFormat="1">
      <c r="A104" s="296"/>
      <c r="B104" s="300"/>
      <c r="C104" s="88">
        <v>16</v>
      </c>
      <c r="D104" s="188" t="s">
        <v>159</v>
      </c>
      <c r="E104" s="172">
        <f>IF(D104="yes",LOOKUP(C104,Y45:Y63,Z45:Z63),0)</f>
        <v>0</v>
      </c>
      <c r="F104" s="300"/>
      <c r="G104" s="189">
        <f t="shared" si="4"/>
        <v>-1</v>
      </c>
      <c r="H104" s="86"/>
      <c r="I104" s="86"/>
      <c r="R104" s="86"/>
    </row>
    <row r="105" spans="1:21" s="121" customFormat="1">
      <c r="A105" s="296"/>
      <c r="B105" s="297" t="s">
        <v>563</v>
      </c>
      <c r="C105" s="122">
        <v>10</v>
      </c>
      <c r="D105" s="170" t="s">
        <v>157</v>
      </c>
      <c r="E105" s="170">
        <f>IF(D105="yes",LOOKUP(C105,Y45:Y63,Z45:Z63),0)</f>
        <v>1024</v>
      </c>
      <c r="F105" s="297">
        <f xml:space="preserve"> SUM(E105:E106)</f>
        <v>1024</v>
      </c>
      <c r="G105" s="189">
        <f t="shared" si="4"/>
        <v>10</v>
      </c>
      <c r="H105" s="86"/>
      <c r="I105" s="86"/>
      <c r="R105" s="86"/>
    </row>
    <row r="106" spans="1:21" s="121" customFormat="1">
      <c r="A106" s="296"/>
      <c r="B106" s="297"/>
      <c r="C106" s="122">
        <v>17</v>
      </c>
      <c r="D106" s="170" t="s">
        <v>159</v>
      </c>
      <c r="E106" s="170">
        <f>IF(D106="yes",LOOKUP(C106,Y45:Y63,Z45:Z63),0)</f>
        <v>0</v>
      </c>
      <c r="F106" s="297"/>
      <c r="G106" s="189">
        <f t="shared" si="4"/>
        <v>-1</v>
      </c>
      <c r="H106" s="86"/>
      <c r="I106" s="86"/>
      <c r="R106" s="86"/>
    </row>
    <row r="107" spans="1:21" s="121" customFormat="1">
      <c r="A107" s="296"/>
      <c r="B107" s="300" t="s">
        <v>564</v>
      </c>
      <c r="C107" s="88">
        <v>11</v>
      </c>
      <c r="D107" s="172" t="s">
        <v>157</v>
      </c>
      <c r="E107" s="172">
        <f>IF(D107="yes",LOOKUP(C107,Y45:Y63,Z45:Z63),0)</f>
        <v>1024</v>
      </c>
      <c r="F107" s="300">
        <f xml:space="preserve"> SUM(E107:E108)</f>
        <v>1024</v>
      </c>
      <c r="G107" s="189">
        <f t="shared" si="4"/>
        <v>11</v>
      </c>
      <c r="H107" s="3"/>
      <c r="I107" s="3"/>
      <c r="J107"/>
      <c r="N107"/>
      <c r="P107"/>
      <c r="R107" s="86"/>
      <c r="S107"/>
      <c r="T107"/>
      <c r="U107"/>
    </row>
    <row r="108" spans="1:21" s="121" customFormat="1">
      <c r="A108" s="296"/>
      <c r="B108" s="300"/>
      <c r="C108" s="88">
        <v>18</v>
      </c>
      <c r="D108" s="172" t="s">
        <v>159</v>
      </c>
      <c r="E108" s="172">
        <f>IF(D108="yes",LOOKUP(C108,Y45:Y63,Z45:Z63),0)</f>
        <v>0</v>
      </c>
      <c r="F108" s="300"/>
      <c r="G108" s="189">
        <f t="shared" si="4"/>
        <v>-1</v>
      </c>
      <c r="H108" s="3"/>
      <c r="I108" s="3"/>
      <c r="J108"/>
      <c r="N108"/>
      <c r="P108"/>
      <c r="R108" s="86"/>
      <c r="S108"/>
      <c r="T108"/>
      <c r="U108"/>
    </row>
    <row r="109" spans="1:21" s="121" customFormat="1">
      <c r="A109" s="296"/>
      <c r="B109" s="166" t="s">
        <v>565</v>
      </c>
      <c r="C109" s="122">
        <v>12</v>
      </c>
      <c r="D109" s="170" t="s">
        <v>157</v>
      </c>
      <c r="E109" s="170">
        <f>IF(D109="yes",LOOKUP(C109,Y45:Y63,Z45:Z63),0)</f>
        <v>1024</v>
      </c>
      <c r="F109" s="170">
        <f xml:space="preserve"> SUM(E109)</f>
        <v>1024</v>
      </c>
      <c r="G109" s="189">
        <f t="shared" si="4"/>
        <v>12</v>
      </c>
      <c r="H109" s="3"/>
      <c r="I109" s="3"/>
      <c r="J109"/>
      <c r="N109"/>
      <c r="P109"/>
      <c r="R109" s="86"/>
      <c r="S109"/>
      <c r="T109"/>
      <c r="U109"/>
    </row>
    <row r="110" spans="1:21" s="121" customFormat="1">
      <c r="A110" s="296"/>
      <c r="B110" s="168" t="s">
        <v>566</v>
      </c>
      <c r="C110" s="88">
        <v>13</v>
      </c>
      <c r="D110" s="209" t="s">
        <v>157</v>
      </c>
      <c r="E110" s="172">
        <f>IF(D110="yes",LOOKUP(C110,Y45:Y63,Z45:Z63),0)</f>
        <v>1024</v>
      </c>
      <c r="F110" s="172">
        <f xml:space="preserve"> SUM(E110)</f>
        <v>1024</v>
      </c>
      <c r="G110" s="189">
        <f t="shared" si="4"/>
        <v>13</v>
      </c>
      <c r="H110" s="3"/>
      <c r="I110" s="3"/>
      <c r="J110"/>
      <c r="N110"/>
      <c r="P110"/>
      <c r="R110" s="86"/>
      <c r="S110"/>
      <c r="T110"/>
      <c r="U110"/>
    </row>
    <row r="111" spans="1:21" s="121" customFormat="1">
      <c r="A111" s="296"/>
      <c r="B111" s="161" t="s">
        <v>567</v>
      </c>
      <c r="C111" s="122">
        <v>14</v>
      </c>
      <c r="D111" s="170" t="s">
        <v>157</v>
      </c>
      <c r="E111" s="170">
        <f>IF(D111="yes",LOOKUP(C111,Y45:Y63,Z45:Z63),0)</f>
        <v>1024</v>
      </c>
      <c r="F111" s="170">
        <f>SUM(E111)</f>
        <v>1024</v>
      </c>
      <c r="G111" s="189">
        <f t="shared" si="4"/>
        <v>14</v>
      </c>
      <c r="H111" s="3"/>
      <c r="I111" s="3"/>
      <c r="J111"/>
      <c r="N111"/>
      <c r="P111"/>
      <c r="R111" s="86"/>
      <c r="S111"/>
      <c r="T111"/>
      <c r="U111"/>
    </row>
    <row r="112" spans="1:21" s="121" customFormat="1">
      <c r="B112" s="85"/>
      <c r="C112" s="3"/>
      <c r="D112" s="86"/>
      <c r="E112" s="86"/>
      <c r="F112" s="86"/>
      <c r="H112" s="3"/>
      <c r="I112" s="3"/>
      <c r="J112"/>
      <c r="N112"/>
      <c r="P112"/>
      <c r="R112" s="86"/>
      <c r="S112"/>
      <c r="T112"/>
      <c r="U112"/>
    </row>
    <row r="113" spans="1:24" s="121" customFormat="1">
      <c r="B113" s="85"/>
      <c r="C113" s="86"/>
      <c r="D113" s="86"/>
      <c r="E113" s="86"/>
      <c r="F113" s="86"/>
      <c r="I113"/>
      <c r="K113"/>
      <c r="M113" s="86"/>
      <c r="N113"/>
      <c r="O113"/>
      <c r="P113"/>
      <c r="T113"/>
      <c r="U113"/>
      <c r="V113"/>
      <c r="W113"/>
    </row>
    <row r="114" spans="1:24" s="121" customFormat="1">
      <c r="A114" s="91"/>
      <c r="B114" s="106" t="s">
        <v>151</v>
      </c>
      <c r="C114" s="106" t="s">
        <v>297</v>
      </c>
      <c r="D114" s="106" t="s">
        <v>152</v>
      </c>
      <c r="E114" s="106" t="s">
        <v>156</v>
      </c>
      <c r="F114" s="106" t="s">
        <v>113</v>
      </c>
      <c r="I114"/>
      <c r="K114"/>
      <c r="M114" s="86"/>
      <c r="N114"/>
      <c r="O114"/>
      <c r="P114"/>
      <c r="T114"/>
      <c r="U114"/>
      <c r="V114"/>
      <c r="W114"/>
    </row>
    <row r="115" spans="1:24" s="121" customFormat="1">
      <c r="A115" s="313" t="s">
        <v>581</v>
      </c>
      <c r="B115" s="301" t="s">
        <v>588</v>
      </c>
      <c r="C115" s="4">
        <v>0</v>
      </c>
      <c r="D115" s="301" t="s">
        <v>157</v>
      </c>
      <c r="E115" s="301">
        <f>IF(D115="yes",SUM(LOOKUP(C117,AC44:AC55,AD44:AD55),LOOKUP(C118,AC44:AC55,AD44:AD55)),0)</f>
        <v>2048</v>
      </c>
      <c r="F115" s="301">
        <f>SUM(E115:E126)</f>
        <v>4096</v>
      </c>
      <c r="G115" s="189">
        <f xml:space="preserve"> IF(D115 = "yes", C115, -1)</f>
        <v>0</v>
      </c>
      <c r="I115"/>
      <c r="K115"/>
      <c r="M115" s="86"/>
      <c r="N115"/>
      <c r="O115"/>
      <c r="P115"/>
      <c r="T115"/>
      <c r="U115"/>
      <c r="V115"/>
      <c r="W115"/>
    </row>
    <row r="116" spans="1:24" s="121" customFormat="1">
      <c r="A116" s="314"/>
      <c r="B116" s="302"/>
      <c r="C116" s="4">
        <v>1</v>
      </c>
      <c r="D116" s="303"/>
      <c r="E116" s="303"/>
      <c r="F116" s="302"/>
      <c r="G116" s="189">
        <f t="shared" ref="G116:G154" si="5" xml:space="preserve"> IF(D116 = "yes", C116, -1)</f>
        <v>-1</v>
      </c>
      <c r="I116"/>
      <c r="K116"/>
      <c r="M116" s="86"/>
      <c r="N116"/>
      <c r="O116"/>
      <c r="P116"/>
      <c r="T116"/>
      <c r="U116"/>
      <c r="V116"/>
      <c r="W116"/>
      <c r="X116"/>
    </row>
    <row r="117" spans="1:24" s="121" customFormat="1">
      <c r="A117" s="314"/>
      <c r="B117" s="302"/>
      <c r="C117" s="4">
        <v>2</v>
      </c>
      <c r="D117" s="301" t="s">
        <v>157</v>
      </c>
      <c r="E117" s="301">
        <f>IF(D117="yes",SUM(LOOKUP(C117,AC46:AC53,AD46:AD53),LOOKUP(C118,AC46:AC53,AD46:AD53)),0)</f>
        <v>2048</v>
      </c>
      <c r="F117" s="302"/>
      <c r="G117" s="189">
        <f t="shared" si="5"/>
        <v>2</v>
      </c>
      <c r="I117"/>
      <c r="K117"/>
      <c r="M117" s="86"/>
      <c r="N117"/>
      <c r="O117"/>
      <c r="P117"/>
      <c r="T117"/>
      <c r="U117"/>
      <c r="V117"/>
      <c r="W117"/>
      <c r="X117"/>
    </row>
    <row r="118" spans="1:24" s="121" customFormat="1">
      <c r="A118" s="314"/>
      <c r="B118" s="302"/>
      <c r="C118" s="4">
        <v>3</v>
      </c>
      <c r="D118" s="303"/>
      <c r="E118" s="303"/>
      <c r="F118" s="302"/>
      <c r="G118" s="189">
        <f t="shared" si="5"/>
        <v>-1</v>
      </c>
      <c r="H118" s="86"/>
      <c r="I118"/>
      <c r="K118"/>
      <c r="M118"/>
      <c r="N118"/>
      <c r="O118"/>
      <c r="P118"/>
      <c r="T118"/>
      <c r="U118"/>
      <c r="V118"/>
      <c r="W118"/>
      <c r="X118"/>
    </row>
    <row r="119" spans="1:24" s="121" customFormat="1">
      <c r="A119" s="314"/>
      <c r="B119" s="302"/>
      <c r="C119" s="4">
        <v>4</v>
      </c>
      <c r="D119" s="301" t="s">
        <v>159</v>
      </c>
      <c r="E119" s="301">
        <f>IF(D119="yes",SUM(LOOKUP(C119,AC48:AC55,AD48:AD55),LOOKUP(C120,AC48:AC55,AD48:AD55)),0)</f>
        <v>0</v>
      </c>
      <c r="F119" s="302"/>
      <c r="G119" s="189">
        <f t="shared" si="5"/>
        <v>-1</v>
      </c>
      <c r="H119" s="86"/>
      <c r="I119"/>
      <c r="K119"/>
      <c r="M119"/>
      <c r="N119"/>
      <c r="O119"/>
      <c r="P119"/>
      <c r="T119"/>
      <c r="U119"/>
      <c r="V119"/>
      <c r="W119"/>
      <c r="X119"/>
    </row>
    <row r="120" spans="1:24" s="121" customFormat="1">
      <c r="A120" s="314"/>
      <c r="B120" s="302"/>
      <c r="C120" s="4">
        <v>5</v>
      </c>
      <c r="D120" s="303"/>
      <c r="E120" s="303"/>
      <c r="F120" s="302"/>
      <c r="G120" s="189">
        <f t="shared" si="5"/>
        <v>-1</v>
      </c>
      <c r="H120" s="86"/>
      <c r="I120"/>
      <c r="K120"/>
      <c r="M120"/>
      <c r="N120"/>
      <c r="O120"/>
      <c r="P120"/>
      <c r="T120"/>
      <c r="U120"/>
      <c r="V120"/>
      <c r="W120"/>
      <c r="X120"/>
    </row>
    <row r="121" spans="1:24" s="121" customFormat="1">
      <c r="A121" s="314"/>
      <c r="B121" s="302"/>
      <c r="C121" s="4">
        <v>6</v>
      </c>
      <c r="D121" s="301" t="s">
        <v>159</v>
      </c>
      <c r="E121" s="301">
        <f>IF(D121="yes",SUM(LOOKUP(C121,AC50:AC55,AD50:AD55),LOOKUP(C122,AC50:AC55,AD50:AD55)),0)</f>
        <v>0</v>
      </c>
      <c r="F121" s="302"/>
      <c r="G121" s="189">
        <f t="shared" si="5"/>
        <v>-1</v>
      </c>
      <c r="H121" s="86"/>
      <c r="I121"/>
      <c r="K121"/>
      <c r="M121"/>
      <c r="N121"/>
      <c r="O121"/>
      <c r="P121"/>
      <c r="T121"/>
      <c r="U121"/>
      <c r="V121"/>
      <c r="W121"/>
      <c r="X121"/>
    </row>
    <row r="122" spans="1:24" s="121" customFormat="1">
      <c r="A122" s="314"/>
      <c r="B122" s="302"/>
      <c r="C122" s="4">
        <v>7</v>
      </c>
      <c r="D122" s="303"/>
      <c r="E122" s="303"/>
      <c r="F122" s="302"/>
      <c r="G122" s="189">
        <f t="shared" si="5"/>
        <v>-1</v>
      </c>
      <c r="H122" s="86"/>
      <c r="I122"/>
      <c r="K122"/>
      <c r="M122"/>
      <c r="N122"/>
      <c r="O122"/>
      <c r="P122"/>
      <c r="T122"/>
      <c r="U122"/>
      <c r="V122"/>
      <c r="W122"/>
      <c r="X122"/>
    </row>
    <row r="123" spans="1:24" s="121" customFormat="1">
      <c r="A123" s="314"/>
      <c r="B123" s="302"/>
      <c r="C123" s="4">
        <v>8</v>
      </c>
      <c r="D123" s="301" t="s">
        <v>159</v>
      </c>
      <c r="E123" s="301">
        <f>IF(D123="yes",SUM(LOOKUP(C123,AC52:AC55,AD52:AD55),LOOKUP(C124,AC52:AC55,AD52:AD55)),0)</f>
        <v>0</v>
      </c>
      <c r="F123" s="302"/>
      <c r="G123" s="189">
        <f t="shared" si="5"/>
        <v>-1</v>
      </c>
      <c r="H123" s="86"/>
      <c r="I123"/>
      <c r="K123"/>
      <c r="M123"/>
      <c r="N123"/>
      <c r="O123"/>
      <c r="P123"/>
      <c r="T123"/>
      <c r="U123"/>
      <c r="V123"/>
      <c r="W123"/>
      <c r="X123"/>
    </row>
    <row r="124" spans="1:24" s="121" customFormat="1">
      <c r="A124" s="314"/>
      <c r="B124" s="302"/>
      <c r="C124" s="4">
        <v>9</v>
      </c>
      <c r="D124" s="303"/>
      <c r="E124" s="303"/>
      <c r="F124" s="302"/>
      <c r="G124" s="189">
        <f t="shared" si="5"/>
        <v>-1</v>
      </c>
      <c r="H124" s="86"/>
      <c r="I124"/>
      <c r="K124"/>
      <c r="M124"/>
      <c r="N124"/>
      <c r="O124"/>
      <c r="P124"/>
      <c r="T124"/>
      <c r="U124"/>
      <c r="V124"/>
      <c r="W124"/>
      <c r="X124"/>
    </row>
    <row r="125" spans="1:24" s="121" customFormat="1">
      <c r="A125" s="314"/>
      <c r="B125" s="302"/>
      <c r="C125" s="4">
        <v>10</v>
      </c>
      <c r="D125" s="301" t="s">
        <v>159</v>
      </c>
      <c r="E125" s="301">
        <f>IF(D125="yes",SUM(LOOKUP(C125,AC54:AC65,AD54:AD65),LOOKUP(C126,AC54:AC65,AD54:AD65)),0)</f>
        <v>0</v>
      </c>
      <c r="F125" s="302"/>
      <c r="G125" s="189">
        <f t="shared" si="5"/>
        <v>-1</v>
      </c>
      <c r="H125" s="86"/>
      <c r="I125"/>
      <c r="K125"/>
      <c r="M125"/>
      <c r="N125"/>
      <c r="O125"/>
      <c r="P125"/>
      <c r="T125"/>
      <c r="U125"/>
      <c r="V125"/>
      <c r="W125"/>
      <c r="X125"/>
    </row>
    <row r="126" spans="1:24" s="121" customFormat="1">
      <c r="A126" s="314"/>
      <c r="B126" s="303"/>
      <c r="C126" s="4">
        <v>11</v>
      </c>
      <c r="D126" s="303"/>
      <c r="E126" s="303"/>
      <c r="F126" s="303"/>
      <c r="G126" s="189">
        <f t="shared" si="5"/>
        <v>-1</v>
      </c>
      <c r="H126" s="86"/>
      <c r="I126"/>
      <c r="K126"/>
      <c r="M126"/>
      <c r="N126"/>
      <c r="O126"/>
      <c r="P126"/>
      <c r="T126"/>
      <c r="U126"/>
      <c r="V126"/>
      <c r="W126"/>
      <c r="X126"/>
    </row>
    <row r="127" spans="1:24" s="121" customFormat="1">
      <c r="A127" s="314"/>
      <c r="B127" s="310" t="s">
        <v>589</v>
      </c>
      <c r="C127" s="172">
        <v>0</v>
      </c>
      <c r="D127" s="310" t="s">
        <v>627</v>
      </c>
      <c r="E127" s="310">
        <f>IF(D127="yes",SUM(LOOKUP(C127,AC44:AC55,AD44:AD55),LOOKUP(C127,AC44:AC55,AD44:AD55)),0)</f>
        <v>0</v>
      </c>
      <c r="F127" s="310">
        <f>SUM(E127:E138)</f>
        <v>0</v>
      </c>
      <c r="G127" s="189">
        <f t="shared" si="5"/>
        <v>-1</v>
      </c>
      <c r="H127" s="86"/>
      <c r="I127"/>
      <c r="K127"/>
      <c r="M127"/>
      <c r="N127"/>
      <c r="O127"/>
      <c r="P127"/>
      <c r="T127"/>
      <c r="U127"/>
      <c r="V127"/>
      <c r="W127"/>
      <c r="X127"/>
    </row>
    <row r="128" spans="1:24" s="121" customFormat="1">
      <c r="A128" s="314"/>
      <c r="B128" s="311"/>
      <c r="C128" s="172">
        <v>1</v>
      </c>
      <c r="D128" s="312"/>
      <c r="E128" s="312"/>
      <c r="F128" s="311"/>
      <c r="G128" s="189">
        <f t="shared" si="5"/>
        <v>-1</v>
      </c>
      <c r="H128" s="86"/>
      <c r="I128"/>
      <c r="K128"/>
      <c r="M128"/>
      <c r="N128"/>
      <c r="O128"/>
      <c r="P128"/>
      <c r="T128"/>
      <c r="U128"/>
      <c r="V128"/>
      <c r="W128"/>
      <c r="X128"/>
    </row>
    <row r="129" spans="1:24" s="121" customFormat="1">
      <c r="A129" s="314"/>
      <c r="B129" s="311"/>
      <c r="C129" s="172">
        <v>2</v>
      </c>
      <c r="D129" s="310" t="s">
        <v>159</v>
      </c>
      <c r="E129" s="310">
        <f>IF(D129="yes",SUM(LOOKUP(C129,AC46:AC57,AD46:AD57),LOOKUP(C129,AC46:AC57,AD46:AD57)),0)</f>
        <v>0</v>
      </c>
      <c r="F129" s="311"/>
      <c r="G129" s="189">
        <f t="shared" si="5"/>
        <v>-1</v>
      </c>
      <c r="H129" s="86"/>
      <c r="I129"/>
      <c r="K129"/>
      <c r="M129"/>
      <c r="N129"/>
      <c r="O129"/>
      <c r="P129"/>
      <c r="T129"/>
      <c r="U129"/>
      <c r="V129"/>
      <c r="W129"/>
      <c r="X129"/>
    </row>
    <row r="130" spans="1:24" s="121" customFormat="1">
      <c r="A130" s="314"/>
      <c r="B130" s="311"/>
      <c r="C130" s="172">
        <v>3</v>
      </c>
      <c r="D130" s="312"/>
      <c r="E130" s="312"/>
      <c r="F130" s="311"/>
      <c r="G130" s="189">
        <f t="shared" si="5"/>
        <v>-1</v>
      </c>
      <c r="H130" s="86"/>
      <c r="I130"/>
      <c r="K130"/>
      <c r="M130"/>
      <c r="N130"/>
      <c r="O130"/>
      <c r="P130"/>
      <c r="T130"/>
      <c r="U130"/>
      <c r="V130"/>
      <c r="W130"/>
      <c r="X130"/>
    </row>
    <row r="131" spans="1:24" s="121" customFormat="1">
      <c r="A131" s="314"/>
      <c r="B131" s="311"/>
      <c r="C131" s="172">
        <v>4</v>
      </c>
      <c r="D131" s="310" t="s">
        <v>159</v>
      </c>
      <c r="E131" s="310">
        <f>IF(D131="yes",SUM(LOOKUP(C131,AC48:AC59,AD48:AD59),LOOKUP(C131,AC48:AC59,AD48:AD59)),0)</f>
        <v>0</v>
      </c>
      <c r="F131" s="311"/>
      <c r="G131" s="189">
        <f t="shared" si="5"/>
        <v>-1</v>
      </c>
      <c r="H131" s="86"/>
      <c r="I131"/>
      <c r="K131"/>
      <c r="M131"/>
      <c r="N131"/>
      <c r="O131"/>
      <c r="P131"/>
      <c r="T131"/>
      <c r="U131"/>
      <c r="V131"/>
      <c r="W131"/>
      <c r="X131"/>
    </row>
    <row r="132" spans="1:24" s="121" customFormat="1">
      <c r="A132" s="314"/>
      <c r="B132" s="311"/>
      <c r="C132" s="172">
        <v>5</v>
      </c>
      <c r="D132" s="312"/>
      <c r="E132" s="312"/>
      <c r="F132" s="311"/>
      <c r="G132" s="189">
        <f t="shared" si="5"/>
        <v>-1</v>
      </c>
      <c r="H132" s="86"/>
      <c r="I132"/>
      <c r="K132"/>
      <c r="M132"/>
      <c r="N132"/>
      <c r="O132"/>
      <c r="P132"/>
      <c r="T132"/>
      <c r="U132"/>
      <c r="V132"/>
      <c r="W132"/>
      <c r="X132"/>
    </row>
    <row r="133" spans="1:24" s="121" customFormat="1">
      <c r="A133" s="314"/>
      <c r="B133" s="311"/>
      <c r="C133" s="172">
        <v>6</v>
      </c>
      <c r="D133" s="310" t="s">
        <v>159</v>
      </c>
      <c r="E133" s="310">
        <f>IF(D133="yes",SUM(LOOKUP(C133,AC50:AC61,AD50:AD61),LOOKUP(C133,AC50:AC61,AD50:AD61)),0)</f>
        <v>0</v>
      </c>
      <c r="F133" s="311"/>
      <c r="G133" s="189">
        <f t="shared" si="5"/>
        <v>-1</v>
      </c>
      <c r="H133" s="86"/>
      <c r="I133"/>
      <c r="K133"/>
      <c r="M133"/>
      <c r="N133"/>
      <c r="O133"/>
      <c r="P133"/>
      <c r="T133"/>
      <c r="U133"/>
      <c r="V133"/>
      <c r="W133"/>
      <c r="X133"/>
    </row>
    <row r="134" spans="1:24" s="121" customFormat="1">
      <c r="A134" s="314"/>
      <c r="B134" s="311"/>
      <c r="C134" s="172">
        <v>7</v>
      </c>
      <c r="D134" s="312"/>
      <c r="E134" s="312"/>
      <c r="F134" s="311"/>
      <c r="G134" s="189">
        <f t="shared" si="5"/>
        <v>-1</v>
      </c>
      <c r="H134" s="86"/>
      <c r="I134"/>
      <c r="K134"/>
      <c r="M134"/>
      <c r="N134"/>
      <c r="O134"/>
      <c r="P134"/>
      <c r="T134"/>
      <c r="U134"/>
      <c r="V134"/>
      <c r="W134"/>
      <c r="X134"/>
    </row>
    <row r="135" spans="1:24" s="121" customFormat="1">
      <c r="A135" s="314"/>
      <c r="B135" s="311"/>
      <c r="C135" s="172">
        <v>8</v>
      </c>
      <c r="D135" s="310" t="s">
        <v>159</v>
      </c>
      <c r="E135" s="310">
        <f>IF(D135="yes",SUM(LOOKUP(C135,AC52:AC63,AD52:AD63),LOOKUP(C135,AC52:AC63,AD52:AD63)),0)</f>
        <v>0</v>
      </c>
      <c r="F135" s="311"/>
      <c r="G135" s="189">
        <f t="shared" si="5"/>
        <v>-1</v>
      </c>
      <c r="H135" s="86"/>
      <c r="I135"/>
      <c r="K135"/>
      <c r="M135"/>
      <c r="N135"/>
      <c r="O135"/>
      <c r="P135"/>
      <c r="T135"/>
      <c r="U135"/>
      <c r="V135"/>
      <c r="W135"/>
      <c r="X135"/>
    </row>
    <row r="136" spans="1:24" s="121" customFormat="1">
      <c r="A136" s="314"/>
      <c r="B136" s="311"/>
      <c r="C136" s="172">
        <v>9</v>
      </c>
      <c r="D136" s="312"/>
      <c r="E136" s="312"/>
      <c r="F136" s="311"/>
      <c r="G136" s="189">
        <f t="shared" si="5"/>
        <v>-1</v>
      </c>
      <c r="H136" s="86"/>
      <c r="I136"/>
      <c r="K136"/>
      <c r="M136"/>
      <c r="N136"/>
      <c r="O136"/>
      <c r="P136"/>
      <c r="T136"/>
      <c r="U136"/>
      <c r="V136"/>
      <c r="W136"/>
      <c r="X136"/>
    </row>
    <row r="137" spans="1:24" s="121" customFormat="1">
      <c r="A137" s="314"/>
      <c r="B137" s="311"/>
      <c r="C137" s="172">
        <v>10</v>
      </c>
      <c r="D137" s="310" t="s">
        <v>159</v>
      </c>
      <c r="E137" s="310">
        <f>IF(D137="yes",SUM(LOOKUP(C137,AC54:AC65,AD54:AD65),LOOKUP(C137,AC54:AC65,AD54:AD65)),0)</f>
        <v>0</v>
      </c>
      <c r="F137" s="311"/>
      <c r="G137" s="189">
        <f t="shared" si="5"/>
        <v>-1</v>
      </c>
      <c r="H137" s="3"/>
      <c r="I137" s="3"/>
      <c r="J137"/>
      <c r="N137"/>
      <c r="P137"/>
      <c r="R137" s="86"/>
      <c r="S137"/>
      <c r="T137"/>
      <c r="U137"/>
      <c r="X137"/>
    </row>
    <row r="138" spans="1:24" s="121" customFormat="1">
      <c r="A138" s="314"/>
      <c r="B138" s="312"/>
      <c r="C138" s="172">
        <v>11</v>
      </c>
      <c r="D138" s="312"/>
      <c r="E138" s="312"/>
      <c r="F138" s="312"/>
      <c r="G138" s="189">
        <f t="shared" si="5"/>
        <v>-1</v>
      </c>
      <c r="H138" s="3"/>
      <c r="I138" s="3"/>
      <c r="J138"/>
      <c r="N138"/>
      <c r="P138"/>
      <c r="R138" s="86"/>
      <c r="S138"/>
      <c r="T138"/>
      <c r="U138"/>
      <c r="X138"/>
    </row>
    <row r="139" spans="1:24" s="121" customFormat="1">
      <c r="A139" s="314"/>
      <c r="B139" s="301" t="s">
        <v>587</v>
      </c>
      <c r="C139" s="4">
        <v>0</v>
      </c>
      <c r="D139" s="301" t="s">
        <v>580</v>
      </c>
      <c r="E139" s="301">
        <f>IF(D139="yes",SUM(LOOKUP(C139,AC44:AC55,AD44:AD55),LOOKUP(C127,AC44:AC55,AD44:AD55)),0)</f>
        <v>0</v>
      </c>
      <c r="F139" s="301">
        <f>SUM(E139:E150)</f>
        <v>4096</v>
      </c>
      <c r="G139" s="189">
        <f t="shared" si="5"/>
        <v>-1</v>
      </c>
      <c r="H139" s="3"/>
      <c r="I139" s="3"/>
      <c r="J139"/>
      <c r="N139"/>
      <c r="P139"/>
      <c r="R139" s="86"/>
      <c r="S139"/>
      <c r="T139"/>
      <c r="U139"/>
      <c r="X139"/>
    </row>
    <row r="140" spans="1:24" s="121" customFormat="1">
      <c r="A140" s="314"/>
      <c r="B140" s="302"/>
      <c r="C140" s="4">
        <v>1</v>
      </c>
      <c r="D140" s="303"/>
      <c r="E140" s="303"/>
      <c r="F140" s="302"/>
      <c r="G140" s="189">
        <f t="shared" si="5"/>
        <v>-1</v>
      </c>
      <c r="H140" s="3"/>
      <c r="I140" s="3"/>
      <c r="J140"/>
      <c r="N140"/>
      <c r="P140"/>
      <c r="R140" s="86"/>
      <c r="S140"/>
      <c r="T140"/>
      <c r="U140"/>
    </row>
    <row r="141" spans="1:24" s="121" customFormat="1">
      <c r="A141" s="314"/>
      <c r="B141" s="302"/>
      <c r="C141" s="4">
        <v>2</v>
      </c>
      <c r="D141" s="301" t="s">
        <v>302</v>
      </c>
      <c r="E141" s="301">
        <f>IF(D141="yes",SUM(LOOKUP(C141,AC46:AC57,AD46:AD57),LOOKUP(C129,AC46:AC57,AD46:AD57)),0)</f>
        <v>0</v>
      </c>
      <c r="F141" s="302"/>
      <c r="G141" s="189">
        <f t="shared" si="5"/>
        <v>-1</v>
      </c>
      <c r="J141"/>
      <c r="L141"/>
      <c r="N141" s="86"/>
      <c r="O141"/>
      <c r="P141"/>
      <c r="Q141"/>
      <c r="R141"/>
      <c r="S141"/>
      <c r="T141"/>
    </row>
    <row r="142" spans="1:24" s="121" customFormat="1">
      <c r="A142" s="314"/>
      <c r="B142" s="302"/>
      <c r="C142" s="4">
        <v>3</v>
      </c>
      <c r="D142" s="303"/>
      <c r="E142" s="303"/>
      <c r="F142" s="302"/>
      <c r="G142" s="189">
        <f t="shared" si="5"/>
        <v>-1</v>
      </c>
      <c r="J142"/>
      <c r="L142"/>
      <c r="N142" s="86"/>
      <c r="O142"/>
      <c r="P142"/>
      <c r="Q142"/>
      <c r="R142"/>
      <c r="S142"/>
      <c r="T142"/>
    </row>
    <row r="143" spans="1:24" s="121" customFormat="1">
      <c r="A143" s="314"/>
      <c r="B143" s="302"/>
      <c r="C143" s="4">
        <v>4</v>
      </c>
      <c r="D143" s="301" t="s">
        <v>157</v>
      </c>
      <c r="E143" s="301">
        <f>IF(D143="yes",SUM(LOOKUP(C143,AC48:AC59,AD48:AD59),LOOKUP(C131,AC48:AC59,AD48:AD59)),0)</f>
        <v>2048</v>
      </c>
      <c r="F143" s="302"/>
      <c r="G143" s="189">
        <f t="shared" si="5"/>
        <v>4</v>
      </c>
      <c r="N143" s="86"/>
    </row>
    <row r="144" spans="1:24" s="121" customFormat="1">
      <c r="A144" s="314"/>
      <c r="B144" s="302"/>
      <c r="C144" s="4">
        <v>5</v>
      </c>
      <c r="D144" s="303"/>
      <c r="E144" s="303"/>
      <c r="F144" s="302"/>
      <c r="G144" s="189">
        <f t="shared" si="5"/>
        <v>-1</v>
      </c>
      <c r="N144" s="86"/>
    </row>
    <row r="145" spans="1:26">
      <c r="A145" s="314"/>
      <c r="B145" s="302"/>
      <c r="C145" s="4">
        <v>6</v>
      </c>
      <c r="D145" s="301" t="s">
        <v>157</v>
      </c>
      <c r="E145" s="301">
        <f>IF(D145="yes",SUM(LOOKUP(C145,AC50:AC61,AD50:AD61),LOOKUP(C133,AC50:AC61,AD50:AD61)),0)</f>
        <v>2048</v>
      </c>
      <c r="F145" s="302"/>
      <c r="G145" s="189">
        <f t="shared" si="5"/>
        <v>6</v>
      </c>
      <c r="J145" s="121"/>
      <c r="Y145" s="121"/>
      <c r="Z145" s="121"/>
    </row>
    <row r="146" spans="1:26">
      <c r="A146" s="314"/>
      <c r="B146" s="302"/>
      <c r="C146" s="4">
        <v>7</v>
      </c>
      <c r="D146" s="303"/>
      <c r="E146" s="303"/>
      <c r="F146" s="302"/>
      <c r="G146" s="189">
        <f t="shared" si="5"/>
        <v>-1</v>
      </c>
      <c r="Y146" s="121"/>
      <c r="Z146" s="121"/>
    </row>
    <row r="147" spans="1:26">
      <c r="A147" s="314"/>
      <c r="B147" s="302"/>
      <c r="C147" s="4">
        <v>8</v>
      </c>
      <c r="D147" s="301" t="s">
        <v>159</v>
      </c>
      <c r="E147" s="301">
        <f>IF(D147="yes",SUM(LOOKUP(C147,AC52:AC63,AD52:AD63),LOOKUP(C135,AC52:AC63,AD52:AD63)),0)</f>
        <v>0</v>
      </c>
      <c r="F147" s="302"/>
      <c r="G147" s="189">
        <f t="shared" si="5"/>
        <v>-1</v>
      </c>
      <c r="Y147" s="121"/>
      <c r="Z147" s="121"/>
    </row>
    <row r="148" spans="1:26">
      <c r="A148" s="314"/>
      <c r="B148" s="302"/>
      <c r="C148" s="4">
        <v>9</v>
      </c>
      <c r="D148" s="303"/>
      <c r="E148" s="303"/>
      <c r="F148" s="302"/>
      <c r="G148" s="189">
        <f t="shared" si="5"/>
        <v>-1</v>
      </c>
    </row>
    <row r="149" spans="1:26">
      <c r="A149" s="314"/>
      <c r="B149" s="302"/>
      <c r="C149" s="4">
        <v>10</v>
      </c>
      <c r="D149" s="301" t="s">
        <v>159</v>
      </c>
      <c r="E149" s="301">
        <f>IF(D149="yes",SUM(LOOKUP(C149,AC54:AC65,AD54:AD65),LOOKUP(C137,AC54:AC65,AD54:AD65)),0)</f>
        <v>0</v>
      </c>
      <c r="F149" s="302"/>
      <c r="G149" s="189">
        <f t="shared" si="5"/>
        <v>-1</v>
      </c>
    </row>
    <row r="150" spans="1:26">
      <c r="A150" s="314"/>
      <c r="B150" s="303"/>
      <c r="C150" s="4">
        <v>11</v>
      </c>
      <c r="D150" s="303"/>
      <c r="E150" s="303"/>
      <c r="F150" s="303"/>
      <c r="G150" s="189">
        <f t="shared" si="5"/>
        <v>-1</v>
      </c>
    </row>
    <row r="151" spans="1:26">
      <c r="A151" s="313" t="s">
        <v>584</v>
      </c>
      <c r="B151" s="311" t="s">
        <v>583</v>
      </c>
      <c r="C151" s="175">
        <v>8</v>
      </c>
      <c r="D151" s="311" t="s">
        <v>157</v>
      </c>
      <c r="E151" s="311">
        <f>IF(D151="yes",8192,0)</f>
        <v>8192</v>
      </c>
      <c r="F151" s="311">
        <f>E151</f>
        <v>8192</v>
      </c>
      <c r="G151" s="189">
        <f t="shared" si="5"/>
        <v>8</v>
      </c>
    </row>
    <row r="152" spans="1:26">
      <c r="A152" s="314"/>
      <c r="B152" s="311"/>
      <c r="C152" s="175">
        <v>9</v>
      </c>
      <c r="D152" s="311"/>
      <c r="E152" s="311"/>
      <c r="F152" s="311"/>
      <c r="G152" s="189">
        <f t="shared" si="5"/>
        <v>-1</v>
      </c>
    </row>
    <row r="153" spans="1:26">
      <c r="A153" s="314"/>
      <c r="B153" s="311"/>
      <c r="C153" s="175">
        <v>10</v>
      </c>
      <c r="D153" s="311"/>
      <c r="E153" s="311"/>
      <c r="F153" s="311"/>
      <c r="G153" s="189">
        <f t="shared" si="5"/>
        <v>-1</v>
      </c>
    </row>
    <row r="154" spans="1:26">
      <c r="A154" s="315"/>
      <c r="B154" s="312"/>
      <c r="C154" s="175">
        <v>11</v>
      </c>
      <c r="D154" s="312"/>
      <c r="E154" s="312"/>
      <c r="F154" s="312"/>
      <c r="G154" s="189">
        <f t="shared" si="5"/>
        <v>-1</v>
      </c>
    </row>
    <row r="155" spans="1:26">
      <c r="A155" s="121"/>
      <c r="C155" s="86"/>
    </row>
    <row r="156" spans="1:26" s="121" customFormat="1">
      <c r="B156" s="85"/>
      <c r="C156" s="3"/>
      <c r="D156" s="86"/>
      <c r="E156" s="86"/>
      <c r="F156" s="86"/>
      <c r="Y156"/>
      <c r="Z156"/>
    </row>
    <row r="157" spans="1:26" s="121" customFormat="1">
      <c r="A157"/>
      <c r="B157" s="85"/>
      <c r="C157" s="3"/>
      <c r="D157" s="86"/>
      <c r="E157" s="86"/>
      <c r="F157" s="86"/>
      <c r="Y157"/>
      <c r="Z157"/>
    </row>
    <row r="158" spans="1:26" s="121" customFormat="1">
      <c r="A158"/>
      <c r="B158" s="85"/>
      <c r="C158" s="3"/>
      <c r="D158" s="86"/>
      <c r="E158" s="86"/>
      <c r="F158" s="86"/>
      <c r="Y158"/>
      <c r="Z158"/>
    </row>
    <row r="159" spans="1:26" s="121" customFormat="1">
      <c r="A159"/>
      <c r="B159" s="85"/>
      <c r="C159" s="3"/>
      <c r="D159" s="86"/>
      <c r="E159" s="86"/>
      <c r="F159" s="86"/>
    </row>
    <row r="160" spans="1:26" s="121" customFormat="1">
      <c r="A160"/>
      <c r="B160" s="85"/>
      <c r="C160" s="3"/>
      <c r="D160" s="86"/>
      <c r="E160" s="86"/>
      <c r="F160" s="86"/>
    </row>
    <row r="161" spans="1:26" s="121" customFormat="1">
      <c r="A161"/>
      <c r="B161" s="85"/>
      <c r="C161" s="3"/>
      <c r="D161" s="86"/>
      <c r="E161" s="86"/>
      <c r="F161" s="86"/>
    </row>
    <row r="162" spans="1:26">
      <c r="Y162" s="121"/>
      <c r="Z162" s="121"/>
    </row>
    <row r="163" spans="1:26">
      <c r="Y163" s="121"/>
      <c r="Z163" s="121"/>
    </row>
    <row r="164" spans="1:26">
      <c r="Y164" s="121"/>
      <c r="Z164" s="121"/>
    </row>
    <row r="167" spans="1:26">
      <c r="A167" s="121"/>
      <c r="B167" s="121"/>
      <c r="C167" s="121"/>
      <c r="D167" s="121"/>
      <c r="E167" s="121"/>
      <c r="F167" s="121"/>
    </row>
    <row r="168" spans="1:26" s="121" customFormat="1">
      <c r="Y168"/>
      <c r="Z168"/>
    </row>
    <row r="169" spans="1:26" s="121" customFormat="1">
      <c r="Y169"/>
      <c r="Z169"/>
    </row>
    <row r="170" spans="1:26" s="121" customFormat="1">
      <c r="Y170"/>
      <c r="Z170"/>
    </row>
    <row r="171" spans="1:26" s="121" customFormat="1"/>
    <row r="172" spans="1:26" s="121" customFormat="1"/>
    <row r="173" spans="1:26" s="121" customFormat="1">
      <c r="A173"/>
      <c r="B173" s="85"/>
      <c r="C173" s="3"/>
      <c r="D173" s="86"/>
      <c r="E173" s="86"/>
      <c r="F173" s="86"/>
    </row>
    <row r="174" spans="1:26">
      <c r="Y174" s="121"/>
      <c r="Z174" s="121"/>
    </row>
    <row r="175" spans="1:26">
      <c r="Y175" s="121"/>
      <c r="Z175" s="121"/>
    </row>
    <row r="176" spans="1:26">
      <c r="Y176" s="121"/>
      <c r="Z176" s="121"/>
    </row>
    <row r="179" spans="1:7">
      <c r="A179" s="121"/>
      <c r="B179" s="121"/>
      <c r="C179" s="121"/>
      <c r="D179" s="121"/>
      <c r="E179" s="121"/>
      <c r="F179" s="121"/>
    </row>
    <row r="180" spans="1:7">
      <c r="A180" s="121"/>
      <c r="B180" s="121"/>
      <c r="C180" s="121"/>
      <c r="D180" s="121"/>
      <c r="E180" s="121"/>
      <c r="F180" s="121"/>
    </row>
    <row r="181" spans="1:7">
      <c r="A181" s="121"/>
      <c r="B181" s="121"/>
      <c r="C181" s="121"/>
      <c r="D181" s="121"/>
      <c r="E181" s="121"/>
      <c r="F181" s="121"/>
    </row>
    <row r="182" spans="1:7">
      <c r="A182" s="121"/>
      <c r="B182" s="121"/>
      <c r="C182" s="121"/>
      <c r="D182" s="121"/>
      <c r="E182" s="121"/>
      <c r="F182" s="121"/>
    </row>
    <row r="183" spans="1:7">
      <c r="A183" s="121"/>
      <c r="B183" s="121"/>
      <c r="C183" s="121"/>
      <c r="D183" s="121"/>
      <c r="E183" s="121"/>
      <c r="F183" s="121"/>
    </row>
    <row r="184" spans="1:7">
      <c r="A184" s="121"/>
      <c r="B184" s="121"/>
      <c r="C184" s="121"/>
      <c r="D184" s="121"/>
      <c r="E184" s="121"/>
      <c r="F184" s="121"/>
    </row>
    <row r="185" spans="1:7">
      <c r="G185" s="86"/>
    </row>
    <row r="186" spans="1:7">
      <c r="G186" s="86"/>
    </row>
    <row r="187" spans="1:7">
      <c r="G187" s="86"/>
    </row>
    <row r="188" spans="1:7">
      <c r="G188" s="86"/>
    </row>
    <row r="189" spans="1:7">
      <c r="G189" s="86"/>
    </row>
    <row r="190" spans="1:7">
      <c r="G190" s="86"/>
    </row>
    <row r="191" spans="1:7">
      <c r="G191" s="86"/>
    </row>
    <row r="192" spans="1:7">
      <c r="G192" s="86"/>
    </row>
    <row r="193" spans="7:7">
      <c r="G193" s="86"/>
    </row>
    <row r="194" spans="7:7">
      <c r="G194" s="86"/>
    </row>
    <row r="195" spans="7:7">
      <c r="G195" s="86"/>
    </row>
    <row r="196" spans="7:7">
      <c r="G196" s="86"/>
    </row>
    <row r="197" spans="7:7">
      <c r="G197" s="86"/>
    </row>
    <row r="198" spans="7:7">
      <c r="G198" s="86"/>
    </row>
    <row r="199" spans="7:7">
      <c r="G199" s="86"/>
    </row>
    <row r="200" spans="7:7">
      <c r="G200" s="86"/>
    </row>
    <row r="201" spans="7:7">
      <c r="G201" s="86"/>
    </row>
    <row r="202" spans="7:7">
      <c r="G202" s="86"/>
    </row>
    <row r="203" spans="7:7">
      <c r="G203" s="86"/>
    </row>
  </sheetData>
  <protectedRanges>
    <protectedRange sqref="AD3:AD23 C1 F1 D87:D111 D115:D154 D80 D41:D78 D4:D37" name="区域1"/>
  </protectedRanges>
  <mergeCells count="107">
    <mergeCell ref="D35:D36"/>
    <mergeCell ref="D37:D38"/>
    <mergeCell ref="D39:D40"/>
    <mergeCell ref="F127:F138"/>
    <mergeCell ref="A115:A150"/>
    <mergeCell ref="A151:A154"/>
    <mergeCell ref="B151:B154"/>
    <mergeCell ref="E147:E148"/>
    <mergeCell ref="D149:D150"/>
    <mergeCell ref="E149:E150"/>
    <mergeCell ref="B139:B150"/>
    <mergeCell ref="D151:D154"/>
    <mergeCell ref="E151:E154"/>
    <mergeCell ref="D127:D128"/>
    <mergeCell ref="D129:D130"/>
    <mergeCell ref="D131:D132"/>
    <mergeCell ref="D133:D134"/>
    <mergeCell ref="D135:D136"/>
    <mergeCell ref="D137:D138"/>
    <mergeCell ref="E127:E128"/>
    <mergeCell ref="E129:E130"/>
    <mergeCell ref="F151:F154"/>
    <mergeCell ref="E139:E140"/>
    <mergeCell ref="D141:D142"/>
    <mergeCell ref="E141:E142"/>
    <mergeCell ref="D143:D144"/>
    <mergeCell ref="E143:E144"/>
    <mergeCell ref="D145:D146"/>
    <mergeCell ref="E145:E146"/>
    <mergeCell ref="F139:F150"/>
    <mergeCell ref="D139:D140"/>
    <mergeCell ref="D147:D148"/>
    <mergeCell ref="B127:B138"/>
    <mergeCell ref="E135:E136"/>
    <mergeCell ref="E137:E138"/>
    <mergeCell ref="E133:E134"/>
    <mergeCell ref="E131:E132"/>
    <mergeCell ref="H82:H83"/>
    <mergeCell ref="H84:H85"/>
    <mergeCell ref="G84:G85"/>
    <mergeCell ref="B72:B76"/>
    <mergeCell ref="B91:B92"/>
    <mergeCell ref="B95:B96"/>
    <mergeCell ref="F95:F96"/>
    <mergeCell ref="B4:B8"/>
    <mergeCell ref="B12:B13"/>
    <mergeCell ref="B24:B29"/>
    <mergeCell ref="B30:B31"/>
    <mergeCell ref="F4:F8"/>
    <mergeCell ref="F12:F13"/>
    <mergeCell ref="F24:F29"/>
    <mergeCell ref="F30:F31"/>
    <mergeCell ref="B9:B11"/>
    <mergeCell ref="F9:F11"/>
    <mergeCell ref="B14:B23"/>
    <mergeCell ref="F91:F92"/>
    <mergeCell ref="B93:B94"/>
    <mergeCell ref="F93:F94"/>
    <mergeCell ref="B64:B68"/>
    <mergeCell ref="F64:F68"/>
    <mergeCell ref="D33:D34"/>
    <mergeCell ref="F77:F80"/>
    <mergeCell ref="B99:B100"/>
    <mergeCell ref="F99:F100"/>
    <mergeCell ref="F115:F126"/>
    <mergeCell ref="B97:B98"/>
    <mergeCell ref="F97:F98"/>
    <mergeCell ref="B103:B104"/>
    <mergeCell ref="F103:F104"/>
    <mergeCell ref="G82:G83"/>
    <mergeCell ref="D117:D118"/>
    <mergeCell ref="D119:D120"/>
    <mergeCell ref="D121:D122"/>
    <mergeCell ref="D123:D124"/>
    <mergeCell ref="D125:D126"/>
    <mergeCell ref="B115:B126"/>
    <mergeCell ref="E121:E122"/>
    <mergeCell ref="E123:E124"/>
    <mergeCell ref="E125:E126"/>
    <mergeCell ref="D115:D116"/>
    <mergeCell ref="E115:E116"/>
    <mergeCell ref="E119:E120"/>
    <mergeCell ref="E117:E118"/>
    <mergeCell ref="A87:A111"/>
    <mergeCell ref="B101:B102"/>
    <mergeCell ref="F101:F102"/>
    <mergeCell ref="B47:B49"/>
    <mergeCell ref="B50:B55"/>
    <mergeCell ref="F14:F23"/>
    <mergeCell ref="F50:F55"/>
    <mergeCell ref="B105:B106"/>
    <mergeCell ref="F105:F106"/>
    <mergeCell ref="B107:B108"/>
    <mergeCell ref="F107:F108"/>
    <mergeCell ref="F72:F76"/>
    <mergeCell ref="B57:B63"/>
    <mergeCell ref="F57:F63"/>
    <mergeCell ref="B69:B71"/>
    <mergeCell ref="F69:F71"/>
    <mergeCell ref="B42:B46"/>
    <mergeCell ref="F42:F46"/>
    <mergeCell ref="A4:A80"/>
    <mergeCell ref="B33:B40"/>
    <mergeCell ref="F33:F40"/>
    <mergeCell ref="B89:B90"/>
    <mergeCell ref="F89:F90"/>
    <mergeCell ref="B77:B80"/>
  </mergeCells>
  <phoneticPr fontId="1" type="noConversion"/>
  <conditionalFormatting sqref="C87:C111">
    <cfRule type="expression" dxfId="4" priority="4" stopIfTrue="1">
      <formula>IF($G87&lt;&gt;-1,COUNTIF($G$87:$G$111,$G87),0)&gt;1</formula>
    </cfRule>
  </conditionalFormatting>
  <conditionalFormatting sqref="C115:C154">
    <cfRule type="expression" dxfId="3" priority="5" stopIfTrue="1">
      <formula>IF($G115&lt;&gt;-1,COUNTIF($G$115:$G$154,$G115),0)&gt;1</formula>
    </cfRule>
  </conditionalFormatting>
  <conditionalFormatting sqref="C4:C80">
    <cfRule type="expression" dxfId="2" priority="6" stopIfTrue="1">
      <formula>IF($G4&lt;&gt;-1,COUNTIF($G$4:$G$80,$G4),0)&gt;1</formula>
    </cfRule>
  </conditionalFormatting>
  <conditionalFormatting sqref="D47:F49">
    <cfRule type="expression" dxfId="1" priority="2" stopIfTrue="1">
      <formula>IF($G47&lt;&gt;-1,COUNTIF($G$4:$G$80,$G47),0)&gt;1</formula>
    </cfRule>
  </conditionalFormatting>
  <conditionalFormatting sqref="E64:E68">
    <cfRule type="expression" dxfId="0" priority="1" stopIfTrue="1">
      <formula>IF($G64&lt;&gt;-1,COUNTIF($G$4:$G$80,$G64),0)&gt;1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5125" r:id="rId4" name="CommandButton1"/>
    <control shapeId="5127" r:id="rId5" name="CommandButton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2:G16"/>
  <sheetViews>
    <sheetView workbookViewId="0">
      <selection activeCell="F21" sqref="F21"/>
    </sheetView>
  </sheetViews>
  <sheetFormatPr defaultRowHeight="13.5"/>
  <cols>
    <col min="2" max="2" width="24.25" customWidth="1"/>
    <col min="5" max="5" width="9" style="121"/>
    <col min="6" max="6" width="21.75" customWidth="1"/>
  </cols>
  <sheetData>
    <row r="2" spans="1:7">
      <c r="A2" s="316" t="s">
        <v>569</v>
      </c>
      <c r="B2" s="91" t="s">
        <v>305</v>
      </c>
      <c r="C2" s="91">
        <v>98304</v>
      </c>
      <c r="E2" s="317" t="s">
        <v>570</v>
      </c>
      <c r="F2" s="91" t="s">
        <v>571</v>
      </c>
      <c r="G2" s="91">
        <v>8192</v>
      </c>
    </row>
    <row r="3" spans="1:7">
      <c r="A3" s="316"/>
      <c r="B3" s="91" t="s">
        <v>306</v>
      </c>
      <c r="C3" s="91">
        <v>16384</v>
      </c>
      <c r="E3" s="316"/>
      <c r="F3" s="91" t="s">
        <v>591</v>
      </c>
      <c r="G3" s="91">
        <v>16016</v>
      </c>
    </row>
    <row r="4" spans="1:7">
      <c r="A4" s="316"/>
      <c r="B4" s="91" t="s">
        <v>307</v>
      </c>
      <c r="C4" s="91">
        <v>16384</v>
      </c>
      <c r="E4" s="316"/>
      <c r="F4" s="91" t="s">
        <v>572</v>
      </c>
      <c r="G4" s="91">
        <v>256</v>
      </c>
    </row>
    <row r="5" spans="1:7">
      <c r="A5" s="316"/>
      <c r="B5" s="91" t="s">
        <v>316</v>
      </c>
      <c r="C5" s="91">
        <v>1024</v>
      </c>
      <c r="E5" s="316"/>
      <c r="F5" s="91" t="s">
        <v>573</v>
      </c>
      <c r="G5" s="91">
        <v>64</v>
      </c>
    </row>
    <row r="6" spans="1:7">
      <c r="A6" s="316"/>
      <c r="B6" s="91" t="s">
        <v>124</v>
      </c>
      <c r="C6" s="91">
        <v>7680</v>
      </c>
      <c r="E6" s="316"/>
      <c r="F6" s="164" t="s">
        <v>575</v>
      </c>
      <c r="G6" s="164">
        <f>IF(Resource!C1="yes",1,0)</f>
        <v>0</v>
      </c>
    </row>
    <row r="7" spans="1:7">
      <c r="A7" s="316"/>
      <c r="B7" s="91" t="s">
        <v>308</v>
      </c>
      <c r="C7" s="91">
        <v>1024</v>
      </c>
      <c r="E7" s="316"/>
      <c r="F7" s="164" t="s">
        <v>586</v>
      </c>
      <c r="G7" s="164">
        <f>Resource!F1</f>
        <v>0</v>
      </c>
    </row>
    <row r="8" spans="1:7">
      <c r="A8" s="316"/>
      <c r="B8" s="91" t="s">
        <v>309</v>
      </c>
      <c r="C8" s="91">
        <v>16384</v>
      </c>
      <c r="E8" s="316"/>
      <c r="F8" s="164" t="s">
        <v>626</v>
      </c>
      <c r="G8" s="164">
        <v>0</v>
      </c>
    </row>
    <row r="9" spans="1:7">
      <c r="A9" s="316"/>
      <c r="B9" s="91" t="s">
        <v>310</v>
      </c>
      <c r="C9" s="91">
        <v>2048</v>
      </c>
    </row>
    <row r="10" spans="1:7">
      <c r="A10" s="316"/>
      <c r="B10" s="91" t="s">
        <v>311</v>
      </c>
      <c r="C10" s="91">
        <v>4608</v>
      </c>
    </row>
    <row r="11" spans="1:7">
      <c r="A11" s="316"/>
      <c r="B11" s="91" t="s">
        <v>312</v>
      </c>
      <c r="C11" s="91">
        <v>4096</v>
      </c>
    </row>
    <row r="12" spans="1:7">
      <c r="A12" s="316"/>
      <c r="B12" s="91" t="s">
        <v>313</v>
      </c>
      <c r="C12" s="91">
        <v>4096</v>
      </c>
    </row>
    <row r="13" spans="1:7">
      <c r="A13" s="316"/>
      <c r="B13" s="91" t="s">
        <v>314</v>
      </c>
      <c r="C13" s="91">
        <v>1023</v>
      </c>
      <c r="F13" s="121"/>
      <c r="G13" s="121"/>
    </row>
    <row r="14" spans="1:7" s="121" customFormat="1">
      <c r="A14" s="316"/>
      <c r="B14" s="91" t="s">
        <v>576</v>
      </c>
      <c r="C14" s="165">
        <v>8192</v>
      </c>
      <c r="F14"/>
      <c r="G14"/>
    </row>
    <row r="15" spans="1:7">
      <c r="A15" s="316"/>
      <c r="B15" s="91" t="s">
        <v>315</v>
      </c>
      <c r="C15" s="91">
        <v>5120</v>
      </c>
      <c r="G15" s="121" t="s">
        <v>574</v>
      </c>
    </row>
    <row r="16" spans="1:7">
      <c r="A16" s="316"/>
      <c r="B16" s="91" t="s">
        <v>590</v>
      </c>
      <c r="C16" s="91">
        <v>1024</v>
      </c>
    </row>
  </sheetData>
  <mergeCells count="2">
    <mergeCell ref="A2:A16"/>
    <mergeCell ref="E2:E8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B1:F147"/>
  <sheetViews>
    <sheetView topLeftCell="B31" zoomScale="130" zoomScaleNormal="130" workbookViewId="0">
      <selection activeCell="D22" sqref="D22"/>
    </sheetView>
  </sheetViews>
  <sheetFormatPr defaultRowHeight="13.5"/>
  <cols>
    <col min="2" max="2" width="23.625" customWidth="1"/>
    <col min="3" max="3" width="25" bestFit="1" customWidth="1"/>
    <col min="4" max="4" width="45" bestFit="1" customWidth="1"/>
    <col min="5" max="5" width="13.75" style="3" customWidth="1"/>
  </cols>
  <sheetData>
    <row r="1" spans="2:5">
      <c r="B1" s="138" t="s">
        <v>0</v>
      </c>
      <c r="C1" s="138" t="s">
        <v>1</v>
      </c>
      <c r="D1" s="138" t="s">
        <v>2</v>
      </c>
      <c r="E1" s="126" t="s">
        <v>6</v>
      </c>
    </row>
    <row r="2" spans="2:5">
      <c r="B2" s="318" t="s">
        <v>469</v>
      </c>
      <c r="C2" s="108" t="s">
        <v>440</v>
      </c>
      <c r="D2" s="108" t="s">
        <v>457</v>
      </c>
      <c r="E2" s="122">
        <v>80</v>
      </c>
    </row>
    <row r="3" spans="2:5">
      <c r="B3" s="319"/>
      <c r="C3" s="108" t="s">
        <v>441</v>
      </c>
      <c r="D3" s="108" t="s">
        <v>458</v>
      </c>
      <c r="E3" s="122">
        <v>160</v>
      </c>
    </row>
    <row r="4" spans="2:5">
      <c r="B4" s="319"/>
      <c r="C4" s="108" t="s">
        <v>442</v>
      </c>
      <c r="D4" s="108" t="s">
        <v>459</v>
      </c>
      <c r="E4" s="122">
        <v>160</v>
      </c>
    </row>
    <row r="5" spans="2:5">
      <c r="B5" s="319"/>
      <c r="C5" s="108" t="s">
        <v>443</v>
      </c>
      <c r="D5" s="108" t="s">
        <v>460</v>
      </c>
      <c r="E5" s="122">
        <v>160</v>
      </c>
    </row>
    <row r="6" spans="2:5">
      <c r="B6" s="319"/>
      <c r="C6" s="108" t="s">
        <v>446</v>
      </c>
      <c r="D6" s="108" t="s">
        <v>461</v>
      </c>
      <c r="E6" s="122">
        <v>80</v>
      </c>
    </row>
    <row r="7" spans="2:5">
      <c r="B7" s="319"/>
      <c r="C7" s="108" t="s">
        <v>444</v>
      </c>
      <c r="D7" s="108" t="s">
        <v>462</v>
      </c>
      <c r="E7" s="122">
        <v>80</v>
      </c>
    </row>
    <row r="8" spans="2:5">
      <c r="B8" s="320"/>
      <c r="C8" s="108" t="s">
        <v>445</v>
      </c>
      <c r="D8" s="108" t="s">
        <v>463</v>
      </c>
      <c r="E8" s="122">
        <v>80</v>
      </c>
    </row>
    <row r="9" spans="2:5">
      <c r="B9" s="91"/>
      <c r="C9" s="91"/>
      <c r="D9" s="91"/>
      <c r="E9" s="93"/>
    </row>
    <row r="10" spans="2:5">
      <c r="B10" s="305" t="s">
        <v>470</v>
      </c>
      <c r="C10" s="8" t="s">
        <v>442</v>
      </c>
      <c r="D10" s="8" t="s">
        <v>520</v>
      </c>
      <c r="E10" s="7">
        <v>80</v>
      </c>
    </row>
    <row r="11" spans="2:5">
      <c r="B11" s="306"/>
      <c r="C11" s="8" t="s">
        <v>447</v>
      </c>
      <c r="D11" s="8" t="s">
        <v>379</v>
      </c>
      <c r="E11" s="7">
        <v>80</v>
      </c>
    </row>
    <row r="12" spans="2:5">
      <c r="B12" s="306"/>
      <c r="C12" s="8" t="s">
        <v>447</v>
      </c>
      <c r="D12" s="8" t="s">
        <v>380</v>
      </c>
      <c r="E12" s="7">
        <v>80</v>
      </c>
    </row>
    <row r="13" spans="2:5">
      <c r="B13" s="306"/>
      <c r="C13" s="8" t="s">
        <v>442</v>
      </c>
      <c r="D13" s="8" t="s">
        <v>381</v>
      </c>
      <c r="E13" s="7">
        <v>160</v>
      </c>
    </row>
    <row r="14" spans="2:5">
      <c r="B14" s="306"/>
      <c r="C14" s="8" t="s">
        <v>443</v>
      </c>
      <c r="D14" s="8" t="s">
        <v>448</v>
      </c>
      <c r="E14" s="7">
        <v>80</v>
      </c>
    </row>
    <row r="15" spans="2:5">
      <c r="B15" s="306"/>
      <c r="C15" s="8" t="s">
        <v>447</v>
      </c>
      <c r="D15" s="8" t="s">
        <v>382</v>
      </c>
      <c r="E15" s="7">
        <v>160</v>
      </c>
    </row>
    <row r="16" spans="2:5">
      <c r="B16" s="306"/>
      <c r="C16" s="8" t="s">
        <v>447</v>
      </c>
      <c r="D16" s="8" t="s">
        <v>383</v>
      </c>
      <c r="E16" s="7">
        <v>160</v>
      </c>
    </row>
    <row r="17" spans="2:5">
      <c r="B17" s="306"/>
      <c r="C17" s="8" t="s">
        <v>445</v>
      </c>
      <c r="D17" s="8" t="s">
        <v>384</v>
      </c>
      <c r="E17" s="7">
        <v>80</v>
      </c>
    </row>
    <row r="18" spans="2:5">
      <c r="B18" s="306"/>
      <c r="C18" s="8" t="s">
        <v>444</v>
      </c>
      <c r="D18" s="8" t="s">
        <v>385</v>
      </c>
      <c r="E18" s="7">
        <v>80</v>
      </c>
    </row>
    <row r="19" spans="2:5">
      <c r="B19" s="307"/>
      <c r="C19" s="8" t="s">
        <v>443</v>
      </c>
      <c r="D19" s="8" t="s">
        <v>386</v>
      </c>
      <c r="E19" s="7">
        <v>160</v>
      </c>
    </row>
    <row r="20" spans="2:5">
      <c r="B20" s="91"/>
      <c r="C20" s="91"/>
      <c r="D20" s="91"/>
      <c r="E20" s="93"/>
    </row>
    <row r="21" spans="2:5">
      <c r="B21" s="297" t="s">
        <v>449</v>
      </c>
      <c r="C21" s="108"/>
      <c r="D21" s="108" t="s">
        <v>387</v>
      </c>
      <c r="E21" s="122">
        <v>160</v>
      </c>
    </row>
    <row r="22" spans="2:5">
      <c r="B22" s="297"/>
      <c r="C22" s="108"/>
      <c r="D22" s="108" t="s">
        <v>388</v>
      </c>
      <c r="E22" s="122">
        <v>320</v>
      </c>
    </row>
    <row r="23" spans="2:5">
      <c r="B23" s="297"/>
      <c r="C23" s="108"/>
      <c r="D23" s="108" t="s">
        <v>389</v>
      </c>
      <c r="E23" s="122">
        <v>160</v>
      </c>
    </row>
    <row r="24" spans="2:5">
      <c r="B24" s="297"/>
      <c r="C24" s="108"/>
      <c r="D24" s="108" t="s">
        <v>390</v>
      </c>
      <c r="E24" s="122">
        <v>320</v>
      </c>
    </row>
    <row r="25" spans="2:5">
      <c r="B25" s="297"/>
      <c r="C25" s="108"/>
      <c r="D25" s="108" t="s">
        <v>391</v>
      </c>
      <c r="E25" s="122">
        <v>160</v>
      </c>
    </row>
    <row r="26" spans="2:5">
      <c r="B26" s="91"/>
      <c r="C26" s="91"/>
      <c r="D26" s="91"/>
      <c r="E26" s="93"/>
    </row>
    <row r="27" spans="2:5">
      <c r="B27" s="299" t="s">
        <v>348</v>
      </c>
      <c r="C27" s="8"/>
      <c r="D27" s="8" t="s">
        <v>392</v>
      </c>
      <c r="E27" s="7">
        <v>160</v>
      </c>
    </row>
    <row r="28" spans="2:5">
      <c r="B28" s="299"/>
      <c r="C28" s="8"/>
      <c r="D28" s="8" t="s">
        <v>393</v>
      </c>
      <c r="E28" s="7">
        <v>320</v>
      </c>
    </row>
    <row r="29" spans="2:5">
      <c r="B29" s="299"/>
      <c r="C29" s="8"/>
      <c r="D29" s="8" t="s">
        <v>394</v>
      </c>
      <c r="E29" s="7">
        <v>160</v>
      </c>
    </row>
    <row r="30" spans="2:5">
      <c r="B30" s="299"/>
      <c r="C30" s="8"/>
      <c r="D30" s="8" t="s">
        <v>395</v>
      </c>
      <c r="E30" s="7">
        <v>320</v>
      </c>
    </row>
    <row r="31" spans="2:5">
      <c r="B31" s="299"/>
      <c r="C31" s="8"/>
      <c r="D31" s="8" t="s">
        <v>396</v>
      </c>
      <c r="E31" s="7">
        <v>160</v>
      </c>
    </row>
    <row r="32" spans="2:5">
      <c r="B32" s="91"/>
      <c r="C32" s="91"/>
      <c r="D32" s="91"/>
      <c r="E32" s="93"/>
    </row>
    <row r="33" spans="2:5">
      <c r="B33" s="297" t="s">
        <v>450</v>
      </c>
      <c r="C33" s="122" t="s">
        <v>23</v>
      </c>
      <c r="D33" s="108" t="s">
        <v>369</v>
      </c>
      <c r="E33" s="122">
        <v>80</v>
      </c>
    </row>
    <row r="34" spans="2:5">
      <c r="B34" s="297"/>
      <c r="C34" s="122" t="s">
        <v>24</v>
      </c>
      <c r="D34" s="108" t="s">
        <v>370</v>
      </c>
      <c r="E34" s="122">
        <v>80</v>
      </c>
    </row>
    <row r="35" spans="2:5">
      <c r="B35" s="297"/>
      <c r="C35" s="122" t="s">
        <v>25</v>
      </c>
      <c r="D35" s="108" t="s">
        <v>371</v>
      </c>
      <c r="E35" s="122">
        <v>80</v>
      </c>
    </row>
    <row r="36" spans="2:5">
      <c r="B36" s="297"/>
      <c r="C36" s="108"/>
      <c r="D36" s="108" t="s">
        <v>372</v>
      </c>
      <c r="E36" s="122">
        <v>80</v>
      </c>
    </row>
    <row r="37" spans="2:5">
      <c r="B37" s="297"/>
      <c r="C37" s="108"/>
      <c r="D37" s="108" t="s">
        <v>373</v>
      </c>
      <c r="E37" s="122">
        <v>80</v>
      </c>
    </row>
    <row r="38" spans="2:5">
      <c r="B38" s="297"/>
      <c r="C38" s="108"/>
      <c r="D38" s="108" t="s">
        <v>374</v>
      </c>
      <c r="E38" s="122">
        <v>320</v>
      </c>
    </row>
    <row r="39" spans="2:5">
      <c r="B39" s="297"/>
      <c r="C39" s="108"/>
      <c r="D39" s="108" t="s">
        <v>375</v>
      </c>
      <c r="E39" s="122">
        <v>160</v>
      </c>
    </row>
    <row r="40" spans="2:5">
      <c r="B40" s="297"/>
      <c r="C40" s="108"/>
      <c r="D40" s="108" t="s">
        <v>376</v>
      </c>
      <c r="E40" s="122">
        <v>80</v>
      </c>
    </row>
    <row r="41" spans="2:5">
      <c r="B41" s="297"/>
      <c r="C41" s="108"/>
      <c r="D41" s="108" t="s">
        <v>377</v>
      </c>
      <c r="E41" s="122">
        <v>160</v>
      </c>
    </row>
    <row r="42" spans="2:5">
      <c r="B42" s="297"/>
      <c r="C42" s="108"/>
      <c r="D42" s="108" t="s">
        <v>378</v>
      </c>
      <c r="E42" s="122">
        <v>80</v>
      </c>
    </row>
    <row r="43" spans="2:5">
      <c r="B43" s="297"/>
      <c r="C43" s="108"/>
      <c r="D43" s="108" t="s">
        <v>464</v>
      </c>
      <c r="E43" s="122">
        <v>80</v>
      </c>
    </row>
    <row r="44" spans="2:5">
      <c r="B44" s="297"/>
      <c r="C44" s="108"/>
      <c r="D44" s="108" t="s">
        <v>465</v>
      </c>
      <c r="E44" s="122">
        <v>80</v>
      </c>
    </row>
    <row r="45" spans="2:5">
      <c r="B45" s="297"/>
      <c r="C45" s="108"/>
      <c r="D45" s="108" t="s">
        <v>466</v>
      </c>
      <c r="E45" s="122">
        <v>80</v>
      </c>
    </row>
    <row r="46" spans="2:5">
      <c r="B46" s="297"/>
      <c r="C46" s="108"/>
      <c r="D46" s="108" t="s">
        <v>467</v>
      </c>
      <c r="E46" s="122">
        <v>80</v>
      </c>
    </row>
    <row r="47" spans="2:5">
      <c r="B47" s="297"/>
      <c r="C47" s="108" t="s">
        <v>519</v>
      </c>
      <c r="D47" s="108" t="s">
        <v>468</v>
      </c>
      <c r="E47" s="122">
        <v>160</v>
      </c>
    </row>
    <row r="48" spans="2:5">
      <c r="B48" s="299" t="s">
        <v>451</v>
      </c>
      <c r="C48" s="7" t="s">
        <v>35</v>
      </c>
      <c r="D48" s="8" t="s">
        <v>397</v>
      </c>
      <c r="E48" s="7">
        <v>80</v>
      </c>
    </row>
    <row r="49" spans="2:5">
      <c r="B49" s="299"/>
      <c r="C49" s="7" t="s">
        <v>37</v>
      </c>
      <c r="D49" s="8" t="s">
        <v>398</v>
      </c>
      <c r="E49" s="7">
        <v>160</v>
      </c>
    </row>
    <row r="50" spans="2:5">
      <c r="B50" s="299"/>
      <c r="C50" s="7" t="s">
        <v>54</v>
      </c>
      <c r="D50" s="8" t="s">
        <v>399</v>
      </c>
      <c r="E50" s="7">
        <v>160</v>
      </c>
    </row>
    <row r="51" spans="2:5">
      <c r="B51" s="299"/>
      <c r="C51" s="8"/>
      <c r="D51" s="8" t="s">
        <v>400</v>
      </c>
      <c r="E51" s="7">
        <v>80</v>
      </c>
    </row>
    <row r="52" spans="2:5">
      <c r="B52" s="299"/>
      <c r="C52" s="7" t="s">
        <v>456</v>
      </c>
      <c r="D52" s="8" t="s">
        <v>452</v>
      </c>
      <c r="E52" s="7">
        <v>160</v>
      </c>
    </row>
    <row r="53" spans="2:5">
      <c r="B53" s="299"/>
      <c r="C53" s="8"/>
      <c r="D53" s="8" t="s">
        <v>401</v>
      </c>
      <c r="E53" s="7">
        <v>80</v>
      </c>
    </row>
    <row r="54" spans="2:5">
      <c r="B54" s="299"/>
      <c r="C54" s="8"/>
      <c r="D54" s="8" t="s">
        <v>402</v>
      </c>
      <c r="E54" s="7">
        <v>160</v>
      </c>
    </row>
    <row r="55" spans="2:5">
      <c r="B55" s="299"/>
      <c r="C55" s="8"/>
      <c r="D55" s="8" t="s">
        <v>403</v>
      </c>
      <c r="E55" s="7">
        <v>80</v>
      </c>
    </row>
    <row r="56" spans="2:5">
      <c r="B56" s="299"/>
      <c r="C56" s="8"/>
      <c r="D56" s="8" t="s">
        <v>404</v>
      </c>
      <c r="E56" s="7">
        <v>160</v>
      </c>
    </row>
    <row r="57" spans="2:5">
      <c r="B57" s="299"/>
      <c r="C57" s="8"/>
      <c r="D57" s="8" t="s">
        <v>405</v>
      </c>
      <c r="E57" s="7">
        <v>80</v>
      </c>
    </row>
    <row r="58" spans="2:5">
      <c r="B58" s="299"/>
      <c r="C58" s="8"/>
      <c r="D58" s="8" t="s">
        <v>406</v>
      </c>
      <c r="E58" s="7">
        <v>80</v>
      </c>
    </row>
    <row r="59" spans="2:5">
      <c r="B59" s="299"/>
      <c r="C59" s="8"/>
      <c r="D59" s="8" t="s">
        <v>407</v>
      </c>
      <c r="E59" s="7">
        <v>80</v>
      </c>
    </row>
    <row r="60" spans="2:5">
      <c r="B60" s="299"/>
      <c r="C60" s="8"/>
      <c r="D60" s="8" t="s">
        <v>408</v>
      </c>
      <c r="E60" s="7">
        <v>80</v>
      </c>
    </row>
    <row r="61" spans="2:5">
      <c r="B61" s="299"/>
      <c r="C61" s="8"/>
      <c r="D61" s="8" t="s">
        <v>409</v>
      </c>
      <c r="E61" s="7">
        <v>320</v>
      </c>
    </row>
    <row r="62" spans="2:5">
      <c r="B62" s="299"/>
      <c r="C62" s="8"/>
      <c r="D62" s="8" t="s">
        <v>410</v>
      </c>
      <c r="E62" s="7">
        <v>320</v>
      </c>
    </row>
    <row r="63" spans="2:5">
      <c r="B63" s="299"/>
      <c r="C63" s="8"/>
      <c r="D63" s="8" t="s">
        <v>411</v>
      </c>
      <c r="E63" s="7">
        <v>320</v>
      </c>
    </row>
    <row r="64" spans="2:5">
      <c r="B64" s="299"/>
      <c r="C64" s="8"/>
      <c r="D64" s="8" t="s">
        <v>412</v>
      </c>
      <c r="E64" s="7">
        <v>320</v>
      </c>
    </row>
    <row r="65" spans="2:5">
      <c r="B65" s="299"/>
      <c r="C65" s="8"/>
      <c r="D65" s="8" t="s">
        <v>413</v>
      </c>
      <c r="E65" s="7">
        <v>320</v>
      </c>
    </row>
    <row r="66" spans="2:5">
      <c r="B66" s="299"/>
      <c r="C66" s="8"/>
      <c r="D66" s="8" t="s">
        <v>414</v>
      </c>
      <c r="E66" s="7">
        <v>320</v>
      </c>
    </row>
    <row r="67" spans="2:5">
      <c r="B67" s="299"/>
      <c r="C67" s="8"/>
      <c r="D67" s="8" t="s">
        <v>415</v>
      </c>
      <c r="E67" s="7">
        <v>320</v>
      </c>
    </row>
    <row r="68" spans="2:5">
      <c r="B68" s="299"/>
      <c r="C68" s="8"/>
      <c r="D68" s="8" t="s">
        <v>416</v>
      </c>
      <c r="E68" s="7">
        <v>320</v>
      </c>
    </row>
    <row r="69" spans="2:5">
      <c r="B69" s="299"/>
      <c r="C69" s="139" t="s">
        <v>130</v>
      </c>
      <c r="D69" s="8" t="s">
        <v>417</v>
      </c>
      <c r="E69" s="7">
        <v>80</v>
      </c>
    </row>
    <row r="70" spans="2:5">
      <c r="B70" s="299"/>
      <c r="C70" s="8"/>
      <c r="D70" s="8" t="s">
        <v>418</v>
      </c>
      <c r="E70" s="7">
        <v>80</v>
      </c>
    </row>
    <row r="71" spans="2:5">
      <c r="B71" s="299"/>
      <c r="C71" s="299" t="s">
        <v>444</v>
      </c>
      <c r="D71" s="8" t="s">
        <v>419</v>
      </c>
      <c r="E71" s="7">
        <v>80</v>
      </c>
    </row>
    <row r="72" spans="2:5">
      <c r="B72" s="299"/>
      <c r="C72" s="299"/>
      <c r="D72" s="8" t="s">
        <v>420</v>
      </c>
      <c r="E72" s="7">
        <v>80</v>
      </c>
    </row>
    <row r="73" spans="2:5">
      <c r="B73" s="299"/>
      <c r="C73" s="299"/>
      <c r="D73" s="8" t="s">
        <v>421</v>
      </c>
      <c r="E73" s="7">
        <v>80</v>
      </c>
    </row>
    <row r="74" spans="2:5">
      <c r="B74" s="299"/>
      <c r="C74" s="299"/>
      <c r="D74" s="8" t="s">
        <v>422</v>
      </c>
      <c r="E74" s="7">
        <v>80</v>
      </c>
    </row>
    <row r="75" spans="2:5">
      <c r="B75" s="299"/>
      <c r="C75" s="299"/>
      <c r="D75" s="8" t="s">
        <v>423</v>
      </c>
      <c r="E75" s="7">
        <v>80</v>
      </c>
    </row>
    <row r="76" spans="2:5">
      <c r="B76" s="297" t="s">
        <v>362</v>
      </c>
      <c r="C76" s="108"/>
      <c r="D76" s="108" t="s">
        <v>356</v>
      </c>
      <c r="E76" s="122">
        <v>80</v>
      </c>
    </row>
    <row r="77" spans="2:5">
      <c r="B77" s="297"/>
      <c r="C77" s="108"/>
      <c r="D77" s="108" t="s">
        <v>357</v>
      </c>
      <c r="E77" s="122">
        <v>80</v>
      </c>
    </row>
    <row r="78" spans="2:5">
      <c r="B78" s="297"/>
      <c r="C78" s="108"/>
      <c r="D78" s="108" t="s">
        <v>358</v>
      </c>
      <c r="E78" s="122">
        <v>80</v>
      </c>
    </row>
    <row r="79" spans="2:5">
      <c r="B79" s="297"/>
      <c r="C79" s="108"/>
      <c r="D79" s="108" t="s">
        <v>359</v>
      </c>
      <c r="E79" s="122">
        <v>160</v>
      </c>
    </row>
    <row r="80" spans="2:5">
      <c r="B80" s="297"/>
      <c r="C80" s="108"/>
      <c r="D80" s="108" t="s">
        <v>360</v>
      </c>
      <c r="E80" s="122">
        <v>320</v>
      </c>
    </row>
    <row r="81" spans="2:5">
      <c r="B81" s="91"/>
      <c r="C81" s="91"/>
      <c r="D81" s="91"/>
      <c r="E81" s="93"/>
    </row>
    <row r="82" spans="2:5">
      <c r="B82" s="299" t="s">
        <v>455</v>
      </c>
      <c r="C82" s="299" t="s">
        <v>454</v>
      </c>
      <c r="D82" s="8" t="s">
        <v>424</v>
      </c>
      <c r="E82" s="7">
        <v>160</v>
      </c>
    </row>
    <row r="83" spans="2:5">
      <c r="B83" s="299"/>
      <c r="C83" s="299"/>
      <c r="D83" s="8" t="s">
        <v>425</v>
      </c>
      <c r="E83" s="7">
        <v>160</v>
      </c>
    </row>
    <row r="84" spans="2:5">
      <c r="B84" s="299"/>
      <c r="C84" s="299"/>
      <c r="D84" s="8" t="s">
        <v>426</v>
      </c>
      <c r="E84" s="7">
        <v>160</v>
      </c>
    </row>
    <row r="85" spans="2:5">
      <c r="B85" s="299"/>
      <c r="C85" s="299"/>
      <c r="D85" s="8" t="s">
        <v>427</v>
      </c>
      <c r="E85" s="7">
        <v>160</v>
      </c>
    </row>
    <row r="86" spans="2:5">
      <c r="B86" s="299"/>
      <c r="C86" s="299"/>
      <c r="D86" s="8" t="s">
        <v>428</v>
      </c>
      <c r="E86" s="7">
        <v>160</v>
      </c>
    </row>
    <row r="87" spans="2:5">
      <c r="B87" s="299"/>
      <c r="C87" s="299"/>
      <c r="D87" s="8" t="s">
        <v>429</v>
      </c>
      <c r="E87" s="7">
        <v>160</v>
      </c>
    </row>
    <row r="88" spans="2:5">
      <c r="B88" s="299"/>
      <c r="C88" s="299"/>
      <c r="D88" s="8" t="s">
        <v>430</v>
      </c>
      <c r="E88" s="7">
        <v>160</v>
      </c>
    </row>
    <row r="89" spans="2:5">
      <c r="B89" s="299"/>
      <c r="C89" s="299"/>
      <c r="D89" s="8" t="s">
        <v>431</v>
      </c>
      <c r="E89" s="7">
        <v>160</v>
      </c>
    </row>
    <row r="90" spans="2:5">
      <c r="B90" s="299"/>
      <c r="C90" s="299"/>
      <c r="D90" s="8" t="s">
        <v>432</v>
      </c>
      <c r="E90" s="7">
        <v>160</v>
      </c>
    </row>
    <row r="91" spans="2:5">
      <c r="B91" s="299"/>
      <c r="C91" s="299"/>
      <c r="D91" s="8" t="s">
        <v>433</v>
      </c>
      <c r="E91" s="7">
        <v>160</v>
      </c>
    </row>
    <row r="92" spans="2:5">
      <c r="B92" s="299"/>
      <c r="C92" s="8"/>
      <c r="D92" s="8"/>
      <c r="E92" s="7"/>
    </row>
    <row r="93" spans="2:5">
      <c r="B93" s="299"/>
      <c r="C93" s="305" t="s">
        <v>453</v>
      </c>
      <c r="D93" s="8" t="s">
        <v>434</v>
      </c>
      <c r="E93" s="7">
        <v>160</v>
      </c>
    </row>
    <row r="94" spans="2:5">
      <c r="B94" s="299"/>
      <c r="C94" s="306"/>
      <c r="D94" s="8" t="s">
        <v>435</v>
      </c>
      <c r="E94" s="7">
        <v>160</v>
      </c>
    </row>
    <row r="95" spans="2:5">
      <c r="B95" s="299"/>
      <c r="C95" s="306"/>
      <c r="D95" s="8" t="s">
        <v>436</v>
      </c>
      <c r="E95" s="7">
        <v>160</v>
      </c>
    </row>
    <row r="96" spans="2:5">
      <c r="B96" s="299"/>
      <c r="C96" s="306"/>
      <c r="D96" s="8" t="s">
        <v>437</v>
      </c>
      <c r="E96" s="7">
        <v>160</v>
      </c>
    </row>
    <row r="97" spans="2:6">
      <c r="B97" s="299"/>
      <c r="C97" s="307"/>
      <c r="D97" s="8" t="s">
        <v>438</v>
      </c>
      <c r="E97" s="7">
        <v>160</v>
      </c>
    </row>
    <row r="98" spans="2:6">
      <c r="B98" s="91"/>
      <c r="C98" s="91"/>
      <c r="D98" s="91"/>
      <c r="E98" s="93"/>
    </row>
    <row r="99" spans="2:6">
      <c r="B99" s="322" t="s">
        <v>494</v>
      </c>
      <c r="C99" s="108" t="s">
        <v>499</v>
      </c>
      <c r="D99" s="108" t="s">
        <v>439</v>
      </c>
      <c r="E99" s="122">
        <v>80</v>
      </c>
    </row>
    <row r="100" spans="2:6">
      <c r="B100" s="322"/>
      <c r="C100" s="108" t="s">
        <v>495</v>
      </c>
      <c r="D100" s="108" t="s">
        <v>490</v>
      </c>
      <c r="E100" s="122">
        <v>160</v>
      </c>
    </row>
    <row r="101" spans="2:6">
      <c r="B101" s="322"/>
      <c r="C101" s="108" t="s">
        <v>498</v>
      </c>
      <c r="D101" s="108" t="s">
        <v>491</v>
      </c>
      <c r="E101" s="122">
        <v>320</v>
      </c>
    </row>
    <row r="102" spans="2:6">
      <c r="B102" s="322"/>
      <c r="C102" s="108" t="s">
        <v>497</v>
      </c>
      <c r="D102" s="108" t="s">
        <v>492</v>
      </c>
      <c r="E102" s="122">
        <v>160</v>
      </c>
    </row>
    <row r="103" spans="2:6">
      <c r="B103" s="322"/>
      <c r="C103" s="108" t="s">
        <v>496</v>
      </c>
      <c r="D103" s="108" t="s">
        <v>493</v>
      </c>
      <c r="E103" s="122">
        <v>160</v>
      </c>
    </row>
    <row r="104" spans="2:6">
      <c r="B104" s="322"/>
      <c r="C104" s="297" t="s">
        <v>518</v>
      </c>
      <c r="D104" s="108" t="s">
        <v>503</v>
      </c>
      <c r="E104" s="122">
        <v>40</v>
      </c>
      <c r="F104" s="121"/>
    </row>
    <row r="105" spans="2:6">
      <c r="B105" s="322"/>
      <c r="C105" s="297"/>
      <c r="D105" s="108" t="s">
        <v>504</v>
      </c>
      <c r="E105" s="122">
        <v>160</v>
      </c>
      <c r="F105" s="121"/>
    </row>
    <row r="106" spans="2:6">
      <c r="B106" s="322"/>
      <c r="C106" s="297"/>
      <c r="D106" s="108" t="s">
        <v>505</v>
      </c>
      <c r="E106" s="122">
        <v>80</v>
      </c>
      <c r="F106" s="121"/>
    </row>
    <row r="107" spans="2:6">
      <c r="B107" s="322"/>
      <c r="C107" s="297" t="s">
        <v>515</v>
      </c>
      <c r="D107" s="108" t="s">
        <v>506</v>
      </c>
      <c r="E107" s="122"/>
      <c r="F107" s="121"/>
    </row>
    <row r="108" spans="2:6">
      <c r="B108" s="322"/>
      <c r="C108" s="297"/>
      <c r="D108" s="108" t="s">
        <v>507</v>
      </c>
      <c r="E108" s="122"/>
      <c r="F108" s="121"/>
    </row>
    <row r="109" spans="2:6">
      <c r="B109" s="322"/>
      <c r="C109" s="297"/>
      <c r="D109" s="108" t="s">
        <v>508</v>
      </c>
      <c r="E109" s="122"/>
      <c r="F109" s="121"/>
    </row>
    <row r="110" spans="2:6">
      <c r="B110" s="322"/>
      <c r="C110" s="297" t="s">
        <v>516</v>
      </c>
      <c r="D110" s="108" t="s">
        <v>509</v>
      </c>
      <c r="E110" s="122"/>
      <c r="F110" s="121"/>
    </row>
    <row r="111" spans="2:6">
      <c r="B111" s="322"/>
      <c r="C111" s="297"/>
      <c r="D111" s="108" t="s">
        <v>510</v>
      </c>
      <c r="E111" s="122"/>
      <c r="F111" s="121"/>
    </row>
    <row r="112" spans="2:6">
      <c r="B112" s="322"/>
      <c r="C112" s="297"/>
      <c r="D112" s="108" t="s">
        <v>511</v>
      </c>
      <c r="E112" s="122"/>
      <c r="F112" s="121"/>
    </row>
    <row r="113" spans="2:6">
      <c r="B113" s="322"/>
      <c r="C113" s="297" t="s">
        <v>517</v>
      </c>
      <c r="D113" s="108" t="s">
        <v>512</v>
      </c>
      <c r="E113" s="122"/>
      <c r="F113" s="121"/>
    </row>
    <row r="114" spans="2:6">
      <c r="B114" s="322"/>
      <c r="C114" s="297"/>
      <c r="D114" s="108" t="s">
        <v>513</v>
      </c>
      <c r="E114" s="122"/>
      <c r="F114" s="121"/>
    </row>
    <row r="115" spans="2:6">
      <c r="B115" s="322"/>
      <c r="C115" s="297"/>
      <c r="D115" s="108" t="s">
        <v>514</v>
      </c>
      <c r="E115" s="122"/>
      <c r="F115" s="121"/>
    </row>
    <row r="116" spans="2:6">
      <c r="B116" s="91"/>
      <c r="C116" s="91"/>
      <c r="D116" s="91"/>
      <c r="E116" s="93"/>
    </row>
    <row r="117" spans="2:6">
      <c r="B117" s="321" t="s">
        <v>471</v>
      </c>
      <c r="C117" s="299" t="s">
        <v>500</v>
      </c>
      <c r="D117" s="8" t="s">
        <v>336</v>
      </c>
      <c r="E117" s="7">
        <v>640</v>
      </c>
    </row>
    <row r="118" spans="2:6">
      <c r="B118" s="321"/>
      <c r="C118" s="299"/>
      <c r="D118" s="8" t="s">
        <v>337</v>
      </c>
      <c r="E118" s="7">
        <v>640</v>
      </c>
    </row>
    <row r="119" spans="2:6">
      <c r="B119" s="321"/>
      <c r="C119" s="299"/>
      <c r="D119" s="8" t="s">
        <v>338</v>
      </c>
      <c r="E119" s="7">
        <v>80</v>
      </c>
    </row>
    <row r="120" spans="2:6">
      <c r="B120" s="321"/>
      <c r="C120" s="299"/>
      <c r="D120" s="8" t="s">
        <v>339</v>
      </c>
      <c r="E120" s="7">
        <v>30</v>
      </c>
    </row>
    <row r="121" spans="2:6">
      <c r="B121" s="321"/>
      <c r="C121" s="299"/>
      <c r="D121" s="8" t="s">
        <v>340</v>
      </c>
      <c r="E121" s="7">
        <v>640</v>
      </c>
    </row>
    <row r="122" spans="2:6">
      <c r="B122" s="321"/>
      <c r="C122" s="299"/>
      <c r="D122" s="8" t="s">
        <v>341</v>
      </c>
      <c r="E122" s="7">
        <v>160</v>
      </c>
    </row>
    <row r="123" spans="2:6">
      <c r="B123" s="321"/>
      <c r="C123" s="299"/>
      <c r="D123" s="8" t="s">
        <v>342</v>
      </c>
      <c r="E123" s="7">
        <v>320</v>
      </c>
    </row>
    <row r="124" spans="2:6">
      <c r="B124" s="321"/>
      <c r="C124" s="299"/>
      <c r="D124" s="8" t="s">
        <v>343</v>
      </c>
      <c r="E124" s="7">
        <v>640</v>
      </c>
    </row>
    <row r="125" spans="2:6">
      <c r="B125" s="321"/>
      <c r="C125" s="299"/>
      <c r="D125" s="8" t="s">
        <v>344</v>
      </c>
      <c r="E125" s="7">
        <v>160</v>
      </c>
    </row>
    <row r="126" spans="2:6">
      <c r="B126" s="321"/>
      <c r="C126" s="299"/>
      <c r="D126" s="8" t="s">
        <v>345</v>
      </c>
      <c r="E126" s="7">
        <v>320</v>
      </c>
    </row>
    <row r="127" spans="2:6">
      <c r="B127" s="321"/>
      <c r="C127" s="299"/>
      <c r="D127" s="8" t="s">
        <v>346</v>
      </c>
      <c r="E127" s="7">
        <v>640</v>
      </c>
    </row>
    <row r="128" spans="2:6">
      <c r="B128" s="321"/>
      <c r="C128" s="299"/>
      <c r="D128" s="8" t="s">
        <v>347</v>
      </c>
      <c r="E128" s="7">
        <v>80</v>
      </c>
    </row>
    <row r="129" spans="2:5">
      <c r="B129" s="321"/>
      <c r="C129" s="8"/>
      <c r="D129" s="8"/>
      <c r="E129" s="7"/>
    </row>
    <row r="130" spans="2:5">
      <c r="B130" s="321"/>
      <c r="C130" s="299" t="s">
        <v>501</v>
      </c>
      <c r="D130" s="8" t="s">
        <v>472</v>
      </c>
      <c r="E130" s="7">
        <v>80</v>
      </c>
    </row>
    <row r="131" spans="2:5">
      <c r="B131" s="321"/>
      <c r="C131" s="299"/>
      <c r="D131" s="8" t="s">
        <v>473</v>
      </c>
      <c r="E131" s="7">
        <v>320</v>
      </c>
    </row>
    <row r="132" spans="2:5">
      <c r="B132" s="321"/>
      <c r="C132" s="299"/>
      <c r="D132" s="8" t="s">
        <v>474</v>
      </c>
      <c r="E132" s="7">
        <v>640</v>
      </c>
    </row>
    <row r="133" spans="2:5">
      <c r="B133" s="321"/>
      <c r="C133" s="299"/>
      <c r="D133" s="8" t="s">
        <v>475</v>
      </c>
      <c r="E133" s="7">
        <v>160</v>
      </c>
    </row>
    <row r="134" spans="2:5">
      <c r="B134" s="321"/>
      <c r="C134" s="299"/>
      <c r="D134" s="8" t="s">
        <v>476</v>
      </c>
      <c r="E134" s="7">
        <v>320</v>
      </c>
    </row>
    <row r="135" spans="2:5">
      <c r="B135" s="321"/>
      <c r="C135" s="299"/>
      <c r="D135" s="8" t="s">
        <v>477</v>
      </c>
      <c r="E135" s="7">
        <v>640</v>
      </c>
    </row>
    <row r="136" spans="2:5">
      <c r="B136" s="321"/>
      <c r="C136" s="299"/>
      <c r="D136" s="8" t="s">
        <v>478</v>
      </c>
      <c r="E136" s="7">
        <v>160</v>
      </c>
    </row>
    <row r="137" spans="2:5">
      <c r="B137" s="321"/>
      <c r="C137" s="299"/>
      <c r="D137" s="8" t="s">
        <v>479</v>
      </c>
      <c r="E137" s="7">
        <v>320</v>
      </c>
    </row>
    <row r="138" spans="2:5">
      <c r="B138" s="321"/>
      <c r="C138" s="299"/>
      <c r="D138" s="8" t="s">
        <v>480</v>
      </c>
      <c r="E138" s="7">
        <v>640</v>
      </c>
    </row>
    <row r="139" spans="2:5">
      <c r="B139" s="91"/>
      <c r="C139" s="91"/>
      <c r="D139" s="91"/>
      <c r="E139" s="93"/>
    </row>
    <row r="140" spans="2:5">
      <c r="B140" s="297" t="s">
        <v>489</v>
      </c>
      <c r="C140" s="297" t="s">
        <v>502</v>
      </c>
      <c r="D140" s="108" t="s">
        <v>481</v>
      </c>
      <c r="E140" s="122">
        <v>80</v>
      </c>
    </row>
    <row r="141" spans="2:5">
      <c r="B141" s="297"/>
      <c r="C141" s="297"/>
      <c r="D141" s="108" t="s">
        <v>482</v>
      </c>
      <c r="E141" s="122">
        <v>160</v>
      </c>
    </row>
    <row r="142" spans="2:5">
      <c r="B142" s="297"/>
      <c r="C142" s="297"/>
      <c r="D142" s="108" t="s">
        <v>483</v>
      </c>
      <c r="E142" s="122">
        <v>160</v>
      </c>
    </row>
    <row r="143" spans="2:5">
      <c r="B143" s="297"/>
      <c r="C143" s="297"/>
      <c r="D143" s="108" t="s">
        <v>484</v>
      </c>
      <c r="E143" s="122">
        <v>320</v>
      </c>
    </row>
    <row r="144" spans="2:5">
      <c r="B144" s="297"/>
      <c r="C144" s="297"/>
      <c r="D144" s="108" t="s">
        <v>485</v>
      </c>
      <c r="E144" s="122">
        <v>320</v>
      </c>
    </row>
    <row r="145" spans="2:5">
      <c r="B145" s="297"/>
      <c r="C145" s="297"/>
      <c r="D145" s="108" t="s">
        <v>486</v>
      </c>
      <c r="E145" s="122">
        <v>640</v>
      </c>
    </row>
    <row r="146" spans="2:5">
      <c r="B146" s="297"/>
      <c r="C146" s="297"/>
      <c r="D146" s="108" t="s">
        <v>487</v>
      </c>
      <c r="E146" s="122">
        <v>160</v>
      </c>
    </row>
    <row r="147" spans="2:5">
      <c r="B147" s="297"/>
      <c r="C147" s="297"/>
      <c r="D147" s="108" t="s">
        <v>488</v>
      </c>
      <c r="E147" s="122">
        <v>320</v>
      </c>
    </row>
  </sheetData>
  <mergeCells count="21">
    <mergeCell ref="C93:C97"/>
    <mergeCell ref="C82:C91"/>
    <mergeCell ref="C71:C75"/>
    <mergeCell ref="B21:B25"/>
    <mergeCell ref="B27:B31"/>
    <mergeCell ref="B33:B47"/>
    <mergeCell ref="B76:B80"/>
    <mergeCell ref="B48:B75"/>
    <mergeCell ref="B2:B8"/>
    <mergeCell ref="B10:B19"/>
    <mergeCell ref="B140:B147"/>
    <mergeCell ref="B117:B138"/>
    <mergeCell ref="B99:B115"/>
    <mergeCell ref="B82:B97"/>
    <mergeCell ref="C117:C128"/>
    <mergeCell ref="C130:C138"/>
    <mergeCell ref="C140:C147"/>
    <mergeCell ref="C104:C106"/>
    <mergeCell ref="C107:C109"/>
    <mergeCell ref="C110:C112"/>
    <mergeCell ref="C113:C11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F34"/>
  <sheetViews>
    <sheetView workbookViewId="0">
      <selection activeCell="H35" sqref="H35"/>
    </sheetView>
  </sheetViews>
  <sheetFormatPr defaultRowHeight="13.5"/>
  <cols>
    <col min="2" max="2" width="18.75" customWidth="1"/>
    <col min="3" max="3" width="27.875" customWidth="1"/>
    <col min="4" max="4" width="37.625" customWidth="1"/>
    <col min="5" max="5" width="10.125" customWidth="1"/>
    <col min="6" max="6" width="16.75" customWidth="1"/>
  </cols>
  <sheetData>
    <row r="1" spans="1:6" ht="14.25" thickBot="1"/>
    <row r="2" spans="1:6" ht="14.25" thickTop="1">
      <c r="B2" s="12" t="s">
        <v>1</v>
      </c>
      <c r="C2" s="13" t="s">
        <v>27</v>
      </c>
      <c r="D2" s="13" t="s">
        <v>2</v>
      </c>
      <c r="E2" s="13" t="s">
        <v>59</v>
      </c>
      <c r="F2" s="38" t="s">
        <v>62</v>
      </c>
    </row>
    <row r="3" spans="1:6">
      <c r="B3" s="323" t="s">
        <v>118</v>
      </c>
      <c r="C3" s="4" t="s">
        <v>28</v>
      </c>
      <c r="D3" s="5" t="s">
        <v>4</v>
      </c>
      <c r="E3" s="4">
        <v>80</v>
      </c>
      <c r="F3" s="328">
        <v>80</v>
      </c>
    </row>
    <row r="4" spans="1:6">
      <c r="B4" s="323"/>
      <c r="C4" s="4" t="s">
        <v>29</v>
      </c>
      <c r="D4" s="5" t="s">
        <v>53</v>
      </c>
      <c r="E4" s="4">
        <v>80</v>
      </c>
      <c r="F4" s="329"/>
    </row>
    <row r="5" spans="1:6" ht="14.25" thickBot="1">
      <c r="B5" s="324"/>
      <c r="C5" s="19" t="s">
        <v>30</v>
      </c>
      <c r="D5" s="14" t="s">
        <v>31</v>
      </c>
      <c r="E5" s="19">
        <v>160</v>
      </c>
      <c r="F5" s="330"/>
    </row>
    <row r="6" spans="1:6" ht="15" thickTop="1" thickBot="1"/>
    <row r="7" spans="1:6" ht="14.25" thickTop="1">
      <c r="B7" s="20" t="s">
        <v>1</v>
      </c>
      <c r="C7" s="21" t="s">
        <v>27</v>
      </c>
      <c r="D7" s="21" t="s">
        <v>2</v>
      </c>
      <c r="E7" s="21" t="s">
        <v>58</v>
      </c>
      <c r="F7" s="34" t="s">
        <v>60</v>
      </c>
    </row>
    <row r="8" spans="1:6">
      <c r="B8" s="339" t="s">
        <v>32</v>
      </c>
      <c r="C8" s="325" t="s">
        <v>117</v>
      </c>
      <c r="D8" s="11" t="s">
        <v>3</v>
      </c>
      <c r="E8" s="10">
        <v>80</v>
      </c>
      <c r="F8" s="331">
        <v>80</v>
      </c>
    </row>
    <row r="9" spans="1:6">
      <c r="B9" s="339"/>
      <c r="C9" s="326"/>
      <c r="D9" s="11" t="s">
        <v>33</v>
      </c>
      <c r="E9" s="10">
        <v>80</v>
      </c>
      <c r="F9" s="332"/>
    </row>
    <row r="10" spans="1:6">
      <c r="B10" s="340"/>
      <c r="C10" s="327" t="s">
        <v>119</v>
      </c>
      <c r="D10" s="24" t="s">
        <v>304</v>
      </c>
      <c r="E10" s="10">
        <v>80</v>
      </c>
      <c r="F10" s="331">
        <v>80</v>
      </c>
    </row>
    <row r="11" spans="1:6">
      <c r="A11" t="s">
        <v>34</v>
      </c>
      <c r="B11" s="340"/>
      <c r="C11" s="327"/>
      <c r="D11" s="24" t="s">
        <v>74</v>
      </c>
      <c r="E11" s="10">
        <v>80</v>
      </c>
      <c r="F11" s="333"/>
    </row>
    <row r="12" spans="1:6">
      <c r="B12" s="340"/>
      <c r="C12" s="326"/>
      <c r="D12" s="39" t="s">
        <v>75</v>
      </c>
      <c r="E12" s="26">
        <v>160</v>
      </c>
      <c r="F12" s="332"/>
    </row>
    <row r="13" spans="1:6">
      <c r="B13" s="340"/>
      <c r="C13" s="325" t="s">
        <v>120</v>
      </c>
      <c r="D13" s="24" t="s">
        <v>5</v>
      </c>
      <c r="E13" s="10">
        <v>80</v>
      </c>
      <c r="F13" s="331">
        <v>80</v>
      </c>
    </row>
    <row r="14" spans="1:6">
      <c r="B14" s="340"/>
      <c r="C14" s="327"/>
      <c r="D14" s="25" t="s">
        <v>134</v>
      </c>
      <c r="E14" s="10">
        <v>80</v>
      </c>
      <c r="F14" s="333"/>
    </row>
    <row r="15" spans="1:6">
      <c r="B15" s="340"/>
      <c r="C15" s="327"/>
      <c r="D15" s="24" t="s">
        <v>5</v>
      </c>
      <c r="E15" s="10">
        <v>80</v>
      </c>
      <c r="F15" s="333"/>
    </row>
    <row r="16" spans="1:6">
      <c r="B16" s="340"/>
      <c r="C16" s="327"/>
      <c r="D16" s="24" t="s">
        <v>3</v>
      </c>
      <c r="E16" s="10">
        <v>80</v>
      </c>
      <c r="F16" s="333"/>
    </row>
    <row r="17" spans="2:6">
      <c r="B17" s="340"/>
      <c r="C17" s="326"/>
      <c r="D17" s="24" t="s">
        <v>33</v>
      </c>
      <c r="E17" s="10">
        <v>80</v>
      </c>
      <c r="F17" s="332"/>
    </row>
    <row r="18" spans="2:6">
      <c r="B18" s="340"/>
      <c r="C18" s="325" t="s">
        <v>79</v>
      </c>
      <c r="D18" s="24" t="s">
        <v>80</v>
      </c>
      <c r="E18" s="10">
        <v>160</v>
      </c>
      <c r="F18" s="331">
        <v>160</v>
      </c>
    </row>
    <row r="19" spans="2:6">
      <c r="B19" s="340"/>
      <c r="C19" s="327"/>
      <c r="D19" s="24" t="s">
        <v>81</v>
      </c>
      <c r="E19" s="10">
        <v>320</v>
      </c>
      <c r="F19" s="333"/>
    </row>
    <row r="20" spans="2:6">
      <c r="B20" s="340"/>
      <c r="C20" s="326"/>
      <c r="D20" s="24" t="s">
        <v>82</v>
      </c>
      <c r="E20" s="10">
        <v>80</v>
      </c>
      <c r="F20" s="332"/>
    </row>
    <row r="21" spans="2:6">
      <c r="B21" s="340"/>
      <c r="C21" s="325" t="s">
        <v>116</v>
      </c>
      <c r="D21" s="24" t="s">
        <v>5</v>
      </c>
      <c r="E21" s="10">
        <v>80</v>
      </c>
      <c r="F21" s="331">
        <v>80</v>
      </c>
    </row>
    <row r="22" spans="2:6">
      <c r="B22" s="340"/>
      <c r="C22" s="327"/>
      <c r="D22" s="24" t="s">
        <v>3</v>
      </c>
      <c r="E22" s="10">
        <v>80</v>
      </c>
      <c r="F22" s="333"/>
    </row>
    <row r="23" spans="2:6">
      <c r="B23" s="340"/>
      <c r="C23" s="327"/>
      <c r="D23" s="24" t="s">
        <v>33</v>
      </c>
      <c r="E23" s="10">
        <v>80</v>
      </c>
      <c r="F23" s="333"/>
    </row>
    <row r="24" spans="2:6">
      <c r="B24" s="340"/>
      <c r="C24" s="326"/>
      <c r="D24" s="24" t="s">
        <v>83</v>
      </c>
      <c r="E24" s="10">
        <v>80</v>
      </c>
      <c r="F24" s="332"/>
    </row>
    <row r="25" spans="2:6">
      <c r="B25" s="340"/>
      <c r="C25" s="325" t="s">
        <v>115</v>
      </c>
      <c r="D25" s="24" t="s">
        <v>76</v>
      </c>
      <c r="E25" s="10">
        <v>80</v>
      </c>
      <c r="F25" s="331">
        <v>80</v>
      </c>
    </row>
    <row r="26" spans="2:6">
      <c r="B26" s="340"/>
      <c r="C26" s="327"/>
      <c r="D26" s="24" t="s">
        <v>77</v>
      </c>
      <c r="E26" s="10">
        <v>80</v>
      </c>
      <c r="F26" s="333"/>
    </row>
    <row r="27" spans="2:6">
      <c r="B27" s="340"/>
      <c r="C27" s="327"/>
      <c r="D27" s="24" t="s">
        <v>78</v>
      </c>
      <c r="E27" s="10">
        <v>80</v>
      </c>
      <c r="F27" s="333"/>
    </row>
    <row r="28" spans="2:6" ht="14.25" thickBot="1">
      <c r="B28" s="341"/>
      <c r="C28" s="334"/>
      <c r="D28" s="23" t="s">
        <v>83</v>
      </c>
      <c r="E28" s="22">
        <v>80</v>
      </c>
      <c r="F28" s="335"/>
    </row>
    <row r="29" spans="2:6" ht="15" thickTop="1" thickBot="1"/>
    <row r="30" spans="2:6" ht="14.25" thickTop="1">
      <c r="B30" s="15" t="s">
        <v>65</v>
      </c>
      <c r="C30" s="16" t="s">
        <v>66</v>
      </c>
      <c r="D30" s="16" t="s">
        <v>67</v>
      </c>
      <c r="E30" s="16" t="s">
        <v>68</v>
      </c>
      <c r="F30" s="36" t="s">
        <v>69</v>
      </c>
    </row>
    <row r="31" spans="2:6">
      <c r="B31" s="336" t="s">
        <v>25</v>
      </c>
      <c r="C31" s="7" t="s">
        <v>84</v>
      </c>
      <c r="D31" s="8" t="s">
        <v>85</v>
      </c>
      <c r="E31" s="7">
        <v>160</v>
      </c>
      <c r="F31" s="342">
        <v>80</v>
      </c>
    </row>
    <row r="32" spans="2:6">
      <c r="B32" s="337"/>
      <c r="C32" s="29" t="s">
        <v>86</v>
      </c>
      <c r="D32" s="8" t="s">
        <v>87</v>
      </c>
      <c r="E32" s="7">
        <v>80</v>
      </c>
      <c r="F32" s="343"/>
    </row>
    <row r="33" spans="2:6" ht="14.25" thickBot="1">
      <c r="B33" s="338"/>
      <c r="C33" s="18" t="s">
        <v>88</v>
      </c>
      <c r="D33" s="17" t="s">
        <v>89</v>
      </c>
      <c r="E33" s="18">
        <v>160</v>
      </c>
      <c r="F33" s="344"/>
    </row>
    <row r="34" spans="2:6" ht="14.25" thickTop="1"/>
  </sheetData>
  <mergeCells count="17">
    <mergeCell ref="C25:C28"/>
    <mergeCell ref="F25:F28"/>
    <mergeCell ref="B31:B33"/>
    <mergeCell ref="B8:B28"/>
    <mergeCell ref="C18:C20"/>
    <mergeCell ref="F18:F20"/>
    <mergeCell ref="C21:C24"/>
    <mergeCell ref="F21:F24"/>
    <mergeCell ref="F31:F33"/>
    <mergeCell ref="C13:C17"/>
    <mergeCell ref="F13:F17"/>
    <mergeCell ref="B3:B5"/>
    <mergeCell ref="C8:C9"/>
    <mergeCell ref="C10:C12"/>
    <mergeCell ref="F3:F5"/>
    <mergeCell ref="F8:F9"/>
    <mergeCell ref="F10:F12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F34"/>
  <sheetViews>
    <sheetView workbookViewId="0">
      <selection activeCell="H23" sqref="H23"/>
    </sheetView>
  </sheetViews>
  <sheetFormatPr defaultRowHeight="13.5"/>
  <cols>
    <col min="2" max="2" width="20.25" customWidth="1"/>
    <col min="3" max="3" width="10.375" customWidth="1"/>
    <col min="4" max="4" width="39.75" customWidth="1"/>
    <col min="5" max="5" width="10.375" customWidth="1"/>
    <col min="6" max="6" width="16.75" customWidth="1"/>
  </cols>
  <sheetData>
    <row r="1" spans="2:6" ht="14.25" thickBot="1"/>
    <row r="2" spans="2:6" ht="14.25" thickTop="1">
      <c r="B2" s="20" t="s">
        <v>1</v>
      </c>
      <c r="C2" s="21" t="s">
        <v>27</v>
      </c>
      <c r="D2" s="21" t="s">
        <v>2</v>
      </c>
      <c r="E2" s="21" t="s">
        <v>61</v>
      </c>
      <c r="F2" s="34" t="s">
        <v>63</v>
      </c>
    </row>
    <row r="3" spans="2:6">
      <c r="B3" s="339" t="s">
        <v>37</v>
      </c>
      <c r="C3" s="30"/>
      <c r="D3" s="11" t="s">
        <v>135</v>
      </c>
      <c r="E3" s="10">
        <v>80</v>
      </c>
      <c r="F3" s="354">
        <v>80</v>
      </c>
    </row>
    <row r="4" spans="2:6">
      <c r="B4" s="339"/>
      <c r="C4" s="30"/>
      <c r="D4" s="11" t="s">
        <v>38</v>
      </c>
      <c r="E4" s="10">
        <v>160</v>
      </c>
      <c r="F4" s="355"/>
    </row>
    <row r="5" spans="2:6">
      <c r="B5" s="340"/>
      <c r="C5" s="30"/>
      <c r="D5" s="24" t="s">
        <v>39</v>
      </c>
      <c r="E5" s="26">
        <v>80</v>
      </c>
      <c r="F5" s="355"/>
    </row>
    <row r="6" spans="2:6">
      <c r="B6" s="340"/>
      <c r="C6" s="30"/>
      <c r="D6" s="24" t="s">
        <v>40</v>
      </c>
      <c r="E6" s="26">
        <v>80</v>
      </c>
      <c r="F6" s="355"/>
    </row>
    <row r="7" spans="2:6">
      <c r="B7" s="340"/>
      <c r="C7" s="30"/>
      <c r="D7" s="24" t="s">
        <v>41</v>
      </c>
      <c r="E7" s="26">
        <v>320</v>
      </c>
      <c r="F7" s="355"/>
    </row>
    <row r="8" spans="2:6">
      <c r="B8" s="340"/>
      <c r="C8" s="30"/>
      <c r="D8" s="24" t="s">
        <v>42</v>
      </c>
      <c r="E8" s="26">
        <v>320</v>
      </c>
      <c r="F8" s="355"/>
    </row>
    <row r="9" spans="2:6">
      <c r="B9" s="340"/>
      <c r="C9" s="30"/>
      <c r="D9" s="25" t="s">
        <v>43</v>
      </c>
      <c r="E9" s="26">
        <v>320</v>
      </c>
      <c r="F9" s="355"/>
    </row>
    <row r="10" spans="2:6" ht="14.25" thickBot="1">
      <c r="B10" s="341"/>
      <c r="C10" s="31"/>
      <c r="D10" s="23" t="s">
        <v>368</v>
      </c>
      <c r="E10" s="22">
        <v>320</v>
      </c>
      <c r="F10" s="356"/>
    </row>
    <row r="11" spans="2:6" ht="15" thickTop="1" thickBot="1"/>
    <row r="12" spans="2:6" ht="14.25" thickTop="1">
      <c r="B12" s="15" t="s">
        <v>1</v>
      </c>
      <c r="C12" s="16" t="s">
        <v>27</v>
      </c>
      <c r="D12" s="16" t="s">
        <v>2</v>
      </c>
      <c r="E12" s="16" t="s">
        <v>61</v>
      </c>
      <c r="F12" s="36" t="s">
        <v>63</v>
      </c>
    </row>
    <row r="13" spans="2:6">
      <c r="B13" s="337" t="s">
        <v>44</v>
      </c>
      <c r="C13" s="7"/>
      <c r="D13" s="8" t="s">
        <v>45</v>
      </c>
      <c r="E13" s="7">
        <v>80</v>
      </c>
      <c r="F13" s="357">
        <v>80</v>
      </c>
    </row>
    <row r="14" spans="2:6">
      <c r="B14" s="352"/>
      <c r="C14" s="32"/>
      <c r="D14" s="8" t="s">
        <v>46</v>
      </c>
      <c r="E14" s="7">
        <v>160</v>
      </c>
      <c r="F14" s="358"/>
    </row>
    <row r="15" spans="2:6">
      <c r="B15" s="352"/>
      <c r="C15" s="32"/>
      <c r="D15" s="28" t="s">
        <v>47</v>
      </c>
      <c r="E15" s="29">
        <v>80</v>
      </c>
      <c r="F15" s="358"/>
    </row>
    <row r="16" spans="2:6">
      <c r="B16" s="352"/>
      <c r="C16" s="27"/>
      <c r="D16" s="28" t="s">
        <v>48</v>
      </c>
      <c r="E16" s="29">
        <v>80</v>
      </c>
      <c r="F16" s="358"/>
    </row>
    <row r="17" spans="2:6">
      <c r="B17" s="352"/>
      <c r="C17" s="7"/>
      <c r="D17" s="8" t="s">
        <v>49</v>
      </c>
      <c r="E17" s="7">
        <v>320</v>
      </c>
      <c r="F17" s="358"/>
    </row>
    <row r="18" spans="2:6">
      <c r="B18" s="352"/>
      <c r="C18" s="7"/>
      <c r="D18" s="8" t="s">
        <v>50</v>
      </c>
      <c r="E18" s="7">
        <v>320</v>
      </c>
      <c r="F18" s="358"/>
    </row>
    <row r="19" spans="2:6">
      <c r="B19" s="352"/>
      <c r="C19" s="7"/>
      <c r="D19" s="8" t="s">
        <v>51</v>
      </c>
      <c r="E19" s="7">
        <v>320</v>
      </c>
      <c r="F19" s="358"/>
    </row>
    <row r="20" spans="2:6" ht="14.25" thickBot="1">
      <c r="B20" s="353"/>
      <c r="C20" s="18"/>
      <c r="D20" s="17" t="s">
        <v>52</v>
      </c>
      <c r="E20" s="18">
        <v>320</v>
      </c>
      <c r="F20" s="359"/>
    </row>
    <row r="21" spans="2:6" ht="14.25" thickTop="1"/>
    <row r="22" spans="2:6">
      <c r="B22" s="136" t="s">
        <v>65</v>
      </c>
      <c r="C22" s="136" t="s">
        <v>27</v>
      </c>
      <c r="D22" s="136" t="s">
        <v>67</v>
      </c>
      <c r="E22" s="136" t="s">
        <v>58</v>
      </c>
      <c r="F22" s="136" t="s">
        <v>60</v>
      </c>
    </row>
    <row r="23" spans="2:6">
      <c r="B23" s="349" t="s">
        <v>36</v>
      </c>
      <c r="C23" s="137"/>
      <c r="D23" s="136" t="s">
        <v>16</v>
      </c>
      <c r="E23" s="137">
        <v>160</v>
      </c>
      <c r="F23" s="349">
        <v>80</v>
      </c>
    </row>
    <row r="24" spans="2:6">
      <c r="B24" s="350"/>
      <c r="C24" s="137"/>
      <c r="D24" s="136" t="s">
        <v>14</v>
      </c>
      <c r="E24" s="137">
        <v>80</v>
      </c>
      <c r="F24" s="350"/>
    </row>
    <row r="25" spans="2:6">
      <c r="B25" s="350"/>
      <c r="C25" s="137"/>
      <c r="D25" s="136" t="s">
        <v>15</v>
      </c>
      <c r="E25" s="137">
        <v>160</v>
      </c>
      <c r="F25" s="350"/>
    </row>
    <row r="26" spans="2:6">
      <c r="B26" s="350"/>
      <c r="C26" s="137"/>
      <c r="D26" s="136" t="s">
        <v>17</v>
      </c>
      <c r="E26" s="137">
        <v>80</v>
      </c>
      <c r="F26" s="350"/>
    </row>
    <row r="27" spans="2:6">
      <c r="B27" s="351"/>
      <c r="C27" s="136"/>
      <c r="D27" s="136" t="s">
        <v>361</v>
      </c>
      <c r="E27" s="137">
        <v>160</v>
      </c>
      <c r="F27" s="351"/>
    </row>
    <row r="29" spans="2:6">
      <c r="B29" s="136" t="s">
        <v>65</v>
      </c>
      <c r="C29" s="136" t="s">
        <v>27</v>
      </c>
      <c r="D29" s="136" t="s">
        <v>67</v>
      </c>
      <c r="E29" s="136" t="s">
        <v>58</v>
      </c>
      <c r="F29" s="136" t="s">
        <v>60</v>
      </c>
    </row>
    <row r="30" spans="2:6">
      <c r="B30" s="345" t="s">
        <v>362</v>
      </c>
      <c r="C30" s="135"/>
      <c r="D30" s="135" t="s">
        <v>363</v>
      </c>
      <c r="E30" s="135">
        <v>80</v>
      </c>
      <c r="F30" s="346">
        <v>80</v>
      </c>
    </row>
    <row r="31" spans="2:6">
      <c r="B31" s="345"/>
      <c r="C31" s="135"/>
      <c r="D31" s="135" t="s">
        <v>364</v>
      </c>
      <c r="E31" s="135">
        <v>80</v>
      </c>
      <c r="F31" s="347"/>
    </row>
    <row r="32" spans="2:6">
      <c r="B32" s="345"/>
      <c r="C32" s="135"/>
      <c r="D32" s="135" t="s">
        <v>365</v>
      </c>
      <c r="E32" s="135">
        <v>80</v>
      </c>
      <c r="F32" s="347"/>
    </row>
    <row r="33" spans="2:6">
      <c r="B33" s="345"/>
      <c r="C33" s="135"/>
      <c r="D33" s="135" t="s">
        <v>366</v>
      </c>
      <c r="E33" s="135">
        <v>160</v>
      </c>
      <c r="F33" s="347"/>
    </row>
    <row r="34" spans="2:6">
      <c r="B34" s="345"/>
      <c r="C34" s="135"/>
      <c r="D34" s="135" t="s">
        <v>367</v>
      </c>
      <c r="E34" s="135">
        <v>320</v>
      </c>
      <c r="F34" s="348"/>
    </row>
  </sheetData>
  <mergeCells count="8">
    <mergeCell ref="B30:B34"/>
    <mergeCell ref="F30:F34"/>
    <mergeCell ref="F23:F27"/>
    <mergeCell ref="B13:B20"/>
    <mergeCell ref="F3:F10"/>
    <mergeCell ref="F13:F20"/>
    <mergeCell ref="B3:B10"/>
    <mergeCell ref="B23:B27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B1:F15"/>
  <sheetViews>
    <sheetView workbookViewId="0">
      <selection activeCell="D32" sqref="D32"/>
    </sheetView>
  </sheetViews>
  <sheetFormatPr defaultRowHeight="13.5"/>
  <cols>
    <col min="2" max="2" width="18" customWidth="1"/>
    <col min="3" max="3" width="14.375" customWidth="1"/>
    <col min="4" max="4" width="32.625" customWidth="1"/>
    <col min="5" max="5" width="10.5" customWidth="1"/>
    <col min="6" max="6" width="17.125" customWidth="1"/>
  </cols>
  <sheetData>
    <row r="1" spans="2:6" ht="14.25" thickBot="1"/>
    <row r="2" spans="2:6" ht="14.25" thickTop="1">
      <c r="B2" s="12" t="s">
        <v>65</v>
      </c>
      <c r="C2" s="13" t="s">
        <v>66</v>
      </c>
      <c r="D2" s="13" t="s">
        <v>67</v>
      </c>
      <c r="E2" s="13" t="s">
        <v>68</v>
      </c>
      <c r="F2" s="33" t="s">
        <v>69</v>
      </c>
    </row>
    <row r="3" spans="2:6">
      <c r="B3" s="323" t="s">
        <v>121</v>
      </c>
      <c r="C3" s="4" t="s">
        <v>70</v>
      </c>
      <c r="D3" s="5" t="s">
        <v>55</v>
      </c>
      <c r="E3" s="4">
        <v>160</v>
      </c>
      <c r="F3" s="328">
        <v>160</v>
      </c>
    </row>
    <row r="4" spans="2:6">
      <c r="B4" s="323"/>
      <c r="C4" s="301" t="s">
        <v>71</v>
      </c>
      <c r="D4" s="6" t="s">
        <v>72</v>
      </c>
      <c r="E4" s="4">
        <v>160</v>
      </c>
      <c r="F4" s="329"/>
    </row>
    <row r="5" spans="2:6" ht="14.25" thickBot="1">
      <c r="B5" s="324"/>
      <c r="C5" s="360"/>
      <c r="D5" s="6" t="s">
        <v>73</v>
      </c>
      <c r="E5" s="4">
        <v>160</v>
      </c>
      <c r="F5" s="330"/>
    </row>
    <row r="6" spans="2:6" ht="15" thickTop="1" thickBot="1"/>
    <row r="7" spans="2:6" ht="14.25" thickTop="1">
      <c r="B7" s="20" t="s">
        <v>1</v>
      </c>
      <c r="C7" s="21" t="s">
        <v>27</v>
      </c>
      <c r="D7" s="21" t="s">
        <v>2</v>
      </c>
      <c r="E7" s="21" t="s">
        <v>58</v>
      </c>
      <c r="F7" s="34" t="s">
        <v>63</v>
      </c>
    </row>
    <row r="8" spans="2:6">
      <c r="B8" s="339" t="s">
        <v>122</v>
      </c>
      <c r="C8" s="30"/>
      <c r="D8" s="30" t="s">
        <v>11</v>
      </c>
      <c r="E8" s="35">
        <v>160</v>
      </c>
      <c r="F8" s="361">
        <v>160</v>
      </c>
    </row>
    <row r="9" spans="2:6" ht="14.25" thickBot="1">
      <c r="B9" s="341"/>
      <c r="C9" s="31"/>
      <c r="D9" s="31" t="s">
        <v>13</v>
      </c>
      <c r="E9" s="35">
        <v>160</v>
      </c>
      <c r="F9" s="362"/>
    </row>
    <row r="10" spans="2:6" ht="15" thickTop="1" thickBot="1"/>
    <row r="11" spans="2:6" ht="14.25" thickTop="1">
      <c r="B11" s="15" t="s">
        <v>1</v>
      </c>
      <c r="C11" s="16" t="s">
        <v>27</v>
      </c>
      <c r="D11" s="16" t="s">
        <v>2</v>
      </c>
      <c r="E11" s="16" t="s">
        <v>58</v>
      </c>
      <c r="F11" s="36" t="s">
        <v>63</v>
      </c>
    </row>
    <row r="12" spans="2:6">
      <c r="B12" s="337" t="s">
        <v>123</v>
      </c>
      <c r="C12" s="7"/>
      <c r="D12" s="8" t="s">
        <v>56</v>
      </c>
      <c r="E12" s="37">
        <v>160</v>
      </c>
      <c r="F12" s="363">
        <v>160</v>
      </c>
    </row>
    <row r="13" spans="2:6" ht="14.25" thickBot="1">
      <c r="B13" s="353"/>
      <c r="C13" s="18"/>
      <c r="D13" s="17" t="s">
        <v>12</v>
      </c>
      <c r="E13" s="37">
        <v>160</v>
      </c>
      <c r="F13" s="364"/>
    </row>
    <row r="14" spans="2:6" ht="14.25" thickTop="1"/>
    <row r="15" spans="2:6">
      <c r="D15" s="121" t="s">
        <v>355</v>
      </c>
    </row>
  </sheetData>
  <mergeCells count="7">
    <mergeCell ref="B3:B5"/>
    <mergeCell ref="C4:C5"/>
    <mergeCell ref="B8:B9"/>
    <mergeCell ref="B12:B13"/>
    <mergeCell ref="F3:F5"/>
    <mergeCell ref="F8:F9"/>
    <mergeCell ref="F12:F13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B2:F22"/>
  <sheetViews>
    <sheetView workbookViewId="0">
      <selection activeCell="C10" sqref="C10"/>
    </sheetView>
  </sheetViews>
  <sheetFormatPr defaultRowHeight="13.5"/>
  <cols>
    <col min="2" max="2" width="36.125" bestFit="1" customWidth="1"/>
    <col min="3" max="3" width="20.75" customWidth="1"/>
    <col min="4" max="4" width="37.125" bestFit="1" customWidth="1"/>
    <col min="5" max="5" width="19" customWidth="1"/>
    <col min="6" max="6" width="18.125" customWidth="1"/>
  </cols>
  <sheetData>
    <row r="2" spans="2:6">
      <c r="B2" s="132" t="s">
        <v>1</v>
      </c>
      <c r="C2" s="132" t="s">
        <v>27</v>
      </c>
      <c r="D2" s="132" t="s">
        <v>2</v>
      </c>
      <c r="E2" s="132" t="s">
        <v>58</v>
      </c>
      <c r="F2" s="133" t="s">
        <v>60</v>
      </c>
    </row>
    <row r="3" spans="2:6">
      <c r="B3" s="345" t="s">
        <v>125</v>
      </c>
      <c r="C3" s="134" t="s">
        <v>29</v>
      </c>
      <c r="D3" s="135" t="s">
        <v>352</v>
      </c>
      <c r="E3" s="134">
        <v>640</v>
      </c>
      <c r="F3" s="346">
        <v>80</v>
      </c>
    </row>
    <row r="4" spans="2:6">
      <c r="B4" s="345"/>
      <c r="C4" s="134" t="s">
        <v>353</v>
      </c>
      <c r="D4" s="135" t="s">
        <v>354</v>
      </c>
      <c r="E4" s="134">
        <v>80</v>
      </c>
      <c r="F4" s="347"/>
    </row>
    <row r="5" spans="2:6">
      <c r="B5" s="345"/>
      <c r="C5" s="134" t="s">
        <v>30</v>
      </c>
      <c r="D5" s="135" t="s">
        <v>339</v>
      </c>
      <c r="E5" s="134">
        <v>320</v>
      </c>
      <c r="F5" s="347"/>
    </row>
    <row r="6" spans="2:6">
      <c r="B6" s="345"/>
      <c r="C6" s="134" t="s">
        <v>30</v>
      </c>
      <c r="D6" s="135" t="s">
        <v>340</v>
      </c>
      <c r="E6" s="134">
        <v>640</v>
      </c>
      <c r="F6" s="347"/>
    </row>
    <row r="7" spans="2:6">
      <c r="B7" s="345"/>
      <c r="C7" s="134" t="s">
        <v>29</v>
      </c>
      <c r="D7" s="135" t="s">
        <v>350</v>
      </c>
      <c r="E7" s="134">
        <v>160</v>
      </c>
      <c r="F7" s="347"/>
    </row>
    <row r="8" spans="2:6">
      <c r="B8" s="345"/>
      <c r="C8" s="134" t="s">
        <v>29</v>
      </c>
      <c r="D8" s="135" t="s">
        <v>351</v>
      </c>
      <c r="E8" s="134">
        <v>320</v>
      </c>
      <c r="F8" s="347"/>
    </row>
    <row r="9" spans="2:6">
      <c r="B9" s="345"/>
      <c r="C9" s="134" t="s">
        <v>28</v>
      </c>
      <c r="D9" s="135" t="s">
        <v>343</v>
      </c>
      <c r="E9" s="134">
        <v>640</v>
      </c>
      <c r="F9" s="347"/>
    </row>
    <row r="10" spans="2:6">
      <c r="B10" s="345"/>
      <c r="C10" s="134" t="s">
        <v>28</v>
      </c>
      <c r="D10" s="135" t="s">
        <v>344</v>
      </c>
      <c r="E10" s="134">
        <v>160</v>
      </c>
      <c r="F10" s="347"/>
    </row>
    <row r="11" spans="2:6">
      <c r="B11" s="345"/>
      <c r="C11" s="134" t="s">
        <v>28</v>
      </c>
      <c r="D11" s="135" t="s">
        <v>345</v>
      </c>
      <c r="E11" s="134">
        <v>320</v>
      </c>
      <c r="F11" s="347"/>
    </row>
    <row r="12" spans="2:6">
      <c r="B12" s="345"/>
      <c r="C12" s="134" t="s">
        <v>28</v>
      </c>
      <c r="D12" s="135" t="s">
        <v>346</v>
      </c>
      <c r="E12" s="134">
        <v>640</v>
      </c>
      <c r="F12" s="347"/>
    </row>
    <row r="13" spans="2:6">
      <c r="B13" s="345"/>
      <c r="C13" s="134" t="s">
        <v>349</v>
      </c>
      <c r="D13" s="135" t="s">
        <v>347</v>
      </c>
      <c r="E13" s="134">
        <v>80</v>
      </c>
      <c r="F13" s="348"/>
    </row>
    <row r="15" spans="2:6" ht="14.25" thickBot="1"/>
    <row r="16" spans="2:6" ht="14.25" thickTop="1">
      <c r="B16" s="40" t="s">
        <v>1</v>
      </c>
      <c r="C16" s="41" t="s">
        <v>27</v>
      </c>
      <c r="D16" s="41" t="s">
        <v>2</v>
      </c>
      <c r="E16" s="41" t="s">
        <v>58</v>
      </c>
      <c r="F16" s="42" t="s">
        <v>60</v>
      </c>
    </row>
    <row r="17" spans="2:6">
      <c r="B17" s="365" t="s">
        <v>91</v>
      </c>
      <c r="C17" s="43" t="s">
        <v>28</v>
      </c>
      <c r="D17" s="44" t="s">
        <v>138</v>
      </c>
      <c r="E17" s="43">
        <v>160</v>
      </c>
      <c r="F17" s="368">
        <v>80</v>
      </c>
    </row>
    <row r="18" spans="2:6">
      <c r="B18" s="365"/>
      <c r="C18" s="43" t="s">
        <v>92</v>
      </c>
      <c r="D18" s="44" t="s">
        <v>8</v>
      </c>
      <c r="E18" s="43">
        <v>160</v>
      </c>
      <c r="F18" s="369"/>
    </row>
    <row r="19" spans="2:6">
      <c r="B19" s="365"/>
      <c r="C19" s="43" t="s">
        <v>93</v>
      </c>
      <c r="D19" s="44" t="s">
        <v>10</v>
      </c>
      <c r="E19" s="43">
        <v>160</v>
      </c>
      <c r="F19" s="369"/>
    </row>
    <row r="20" spans="2:6">
      <c r="B20" s="366"/>
      <c r="C20" s="45" t="s">
        <v>94</v>
      </c>
      <c r="D20" s="46" t="s">
        <v>9</v>
      </c>
      <c r="E20" s="45">
        <v>320</v>
      </c>
      <c r="F20" s="369"/>
    </row>
    <row r="21" spans="2:6" ht="14.25" thickBot="1">
      <c r="B21" s="367"/>
      <c r="C21" s="47" t="s">
        <v>30</v>
      </c>
      <c r="D21" s="48" t="s">
        <v>95</v>
      </c>
      <c r="E21" s="47">
        <v>320</v>
      </c>
      <c r="F21" s="370"/>
    </row>
    <row r="22" spans="2:6" ht="14.25" thickTop="1"/>
  </sheetData>
  <mergeCells count="4">
    <mergeCell ref="B17:B21"/>
    <mergeCell ref="F17:F21"/>
    <mergeCell ref="B3:B13"/>
    <mergeCell ref="F3:F13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B1:F19"/>
  <sheetViews>
    <sheetView workbookViewId="0">
      <selection activeCell="D5" sqref="D5"/>
    </sheetView>
  </sheetViews>
  <sheetFormatPr defaultRowHeight="13.5"/>
  <cols>
    <col min="2" max="2" width="11.25" customWidth="1"/>
    <col min="3" max="3" width="9.625" customWidth="1"/>
    <col min="4" max="4" width="31.875" customWidth="1"/>
    <col min="5" max="5" width="11.125" customWidth="1"/>
    <col min="6" max="6" width="18" customWidth="1"/>
  </cols>
  <sheetData>
    <row r="1" spans="2:6" ht="14.25" thickBot="1"/>
    <row r="2" spans="2:6">
      <c r="B2" s="49" t="s">
        <v>1</v>
      </c>
      <c r="C2" s="50" t="s">
        <v>27</v>
      </c>
      <c r="D2" s="50" t="s">
        <v>2</v>
      </c>
      <c r="E2" s="50" t="s">
        <v>58</v>
      </c>
      <c r="F2" s="51" t="s">
        <v>60</v>
      </c>
    </row>
    <row r="3" spans="2:6">
      <c r="B3" s="371" t="s">
        <v>126</v>
      </c>
      <c r="C3" s="4"/>
      <c r="D3" s="52" t="s">
        <v>140</v>
      </c>
      <c r="E3" s="4">
        <v>80</v>
      </c>
      <c r="F3" s="374">
        <v>80</v>
      </c>
    </row>
    <row r="4" spans="2:6">
      <c r="B4" s="372"/>
      <c r="C4" s="4"/>
      <c r="D4" s="52" t="s">
        <v>18</v>
      </c>
      <c r="E4" s="4">
        <v>160</v>
      </c>
      <c r="F4" s="375"/>
    </row>
    <row r="5" spans="2:6">
      <c r="B5" s="372"/>
      <c r="C5" s="4"/>
      <c r="D5" s="52" t="s">
        <v>20</v>
      </c>
      <c r="E5" s="4">
        <v>80</v>
      </c>
      <c r="F5" s="375"/>
    </row>
    <row r="6" spans="2:6" ht="14.25" thickBot="1">
      <c r="B6" s="373"/>
      <c r="C6" s="53"/>
      <c r="D6" s="54" t="s">
        <v>19</v>
      </c>
      <c r="E6" s="53">
        <v>80</v>
      </c>
      <c r="F6" s="376"/>
    </row>
    <row r="7" spans="2:6" ht="14.25" thickBot="1"/>
    <row r="8" spans="2:6">
      <c r="B8" s="55" t="s">
        <v>96</v>
      </c>
      <c r="C8" s="56" t="s">
        <v>97</v>
      </c>
      <c r="D8" s="56" t="s">
        <v>98</v>
      </c>
      <c r="E8" s="56" t="s">
        <v>99</v>
      </c>
      <c r="F8" s="57" t="s">
        <v>100</v>
      </c>
    </row>
    <row r="9" spans="2:6">
      <c r="B9" s="377" t="s">
        <v>101</v>
      </c>
      <c r="C9" s="30"/>
      <c r="D9" s="25" t="s">
        <v>149</v>
      </c>
      <c r="E9" s="10">
        <v>80</v>
      </c>
      <c r="F9" s="58">
        <v>80</v>
      </c>
    </row>
    <row r="10" spans="2:6">
      <c r="B10" s="377"/>
      <c r="C10" s="30"/>
      <c r="D10" s="25" t="s">
        <v>7</v>
      </c>
      <c r="E10" s="10">
        <v>40</v>
      </c>
      <c r="F10" s="379">
        <v>40</v>
      </c>
    </row>
    <row r="11" spans="2:6" ht="14.25" thickBot="1">
      <c r="B11" s="378"/>
      <c r="C11" s="59"/>
      <c r="D11" s="60" t="s">
        <v>150</v>
      </c>
      <c r="E11" s="61">
        <v>160</v>
      </c>
      <c r="F11" s="380"/>
    </row>
    <row r="12" spans="2:6" ht="14.25" thickBot="1"/>
    <row r="13" spans="2:6">
      <c r="B13" s="62" t="s">
        <v>96</v>
      </c>
      <c r="C13" s="63" t="s">
        <v>97</v>
      </c>
      <c r="D13" s="63" t="s">
        <v>98</v>
      </c>
      <c r="E13" s="63" t="s">
        <v>99</v>
      </c>
      <c r="F13" s="64" t="s">
        <v>100</v>
      </c>
    </row>
    <row r="14" spans="2:6">
      <c r="B14" s="381" t="s">
        <v>22</v>
      </c>
      <c r="C14" s="7" t="s">
        <v>102</v>
      </c>
      <c r="D14" s="65" t="s">
        <v>290</v>
      </c>
      <c r="E14" s="7">
        <v>160</v>
      </c>
      <c r="F14" s="384">
        <v>80</v>
      </c>
    </row>
    <row r="15" spans="2:6">
      <c r="B15" s="382"/>
      <c r="C15" s="7" t="s">
        <v>103</v>
      </c>
      <c r="D15" s="65" t="s">
        <v>104</v>
      </c>
      <c r="E15" s="7">
        <v>160</v>
      </c>
      <c r="F15" s="385"/>
    </row>
    <row r="16" spans="2:6">
      <c r="B16" s="382"/>
      <c r="C16" s="7" t="s">
        <v>102</v>
      </c>
      <c r="D16" s="65" t="s">
        <v>105</v>
      </c>
      <c r="E16" s="29">
        <v>80</v>
      </c>
      <c r="F16" s="385"/>
    </row>
    <row r="17" spans="2:6">
      <c r="B17" s="382"/>
      <c r="C17" s="7" t="s">
        <v>102</v>
      </c>
      <c r="D17" s="65" t="s">
        <v>106</v>
      </c>
      <c r="E17" s="29">
        <v>160</v>
      </c>
      <c r="F17" s="385"/>
    </row>
    <row r="18" spans="2:6">
      <c r="B18" s="382"/>
      <c r="C18" s="7" t="s">
        <v>103</v>
      </c>
      <c r="D18" s="65" t="s">
        <v>107</v>
      </c>
      <c r="E18" s="7">
        <v>80</v>
      </c>
      <c r="F18" s="385"/>
    </row>
    <row r="19" spans="2:6" ht="14.25" thickBot="1">
      <c r="B19" s="383"/>
      <c r="C19" s="7" t="s">
        <v>103</v>
      </c>
      <c r="D19" s="66" t="s">
        <v>108</v>
      </c>
      <c r="E19" s="67">
        <v>160</v>
      </c>
      <c r="F19" s="386"/>
    </row>
  </sheetData>
  <mergeCells count="6">
    <mergeCell ref="B3:B6"/>
    <mergeCell ref="F3:F6"/>
    <mergeCell ref="B9:B11"/>
    <mergeCell ref="F10:F11"/>
    <mergeCell ref="B14:B19"/>
    <mergeCell ref="F14:F1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6</vt:i4>
      </vt:variant>
    </vt:vector>
  </HeadingPairs>
  <TitlesOfParts>
    <vt:vector size="17" baseType="lpstr">
      <vt:lpstr>NexthopResource</vt:lpstr>
      <vt:lpstr>NextHop</vt:lpstr>
      <vt:lpstr>Key Resource</vt:lpstr>
      <vt:lpstr>Resource</vt:lpstr>
      <vt:lpstr>SPEC</vt:lpstr>
      <vt:lpstr>KeyOverView</vt:lpstr>
      <vt:lpstr>SCLKey</vt:lpstr>
      <vt:lpstr>Tunnul Decap</vt:lpstr>
      <vt:lpstr>OAM</vt:lpstr>
      <vt:lpstr>ACL Key</vt:lpstr>
      <vt:lpstr>IP</vt:lpstr>
      <vt:lpstr>DYNAMIC</vt:lpstr>
      <vt:lpstr>FlowTCAM</vt:lpstr>
      <vt:lpstr>Global</vt:lpstr>
      <vt:lpstr>IpTcam</vt:lpstr>
      <vt:lpstr>Spec</vt:lpstr>
      <vt:lpstr>TCAM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zhaozc</cp:lastModifiedBy>
  <dcterms:created xsi:type="dcterms:W3CDTF">2006-09-13T11:21:51Z</dcterms:created>
  <dcterms:modified xsi:type="dcterms:W3CDTF">2019-06-19T09:51:13Z</dcterms:modified>
</cp:coreProperties>
</file>